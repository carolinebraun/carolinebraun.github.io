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/>
  <workbookPr/>
  <mc:AlternateContent xmlns:mc="http://schemas.openxmlformats.org/markup-compatibility/2006">
    <mc:Choice Requires="x15">
      <x15ac:absPath xmlns:x15ac="http://schemas.microsoft.com/office/spreadsheetml/2010/11/ac" url="C:\Users\caroline\Desktop\new homepage\"/>
    </mc:Choice>
  </mc:AlternateContent>
  <bookViews>
    <workbookView xWindow="0" yWindow="0" windowWidth="20490" windowHeight="7530" activeTab="1"/>
  </bookViews>
  <sheets>
    <sheet name="Model" sheetId="1" r:id="rId1"/>
    <sheet name="Monte Carlo Dashboard" sheetId="5" r:id="rId2"/>
    <sheet name="Demand Tables" sheetId="3" r:id="rId3"/>
    <sheet name="Supply Tables" sheetId="4" r:id="rId4"/>
  </sheets>
  <definedNames>
    <definedName name="_xlchart.v1.0" hidden="1">Model!$K$8:$K$1008</definedName>
    <definedName name="_xlchart.v1.1" hidden="1">Model!$L$8:$L$1008</definedName>
    <definedName name="_xlchart.v1.10" hidden="1">Model!$W$8:$W$1008</definedName>
    <definedName name="_xlchart.v1.11" hidden="1">Model!$X$8:$X$1008</definedName>
    <definedName name="_xlchart.v1.2" hidden="1">Model!$M$8:$M$1008</definedName>
    <definedName name="_xlchart.v1.3" hidden="1">Model!$N$8:$N$1008</definedName>
    <definedName name="_xlchart.v1.4" hidden="1">Model!$O$8:$O$1008</definedName>
    <definedName name="_xlchart.v1.5" hidden="1">Model!$P$8:$P$1008</definedName>
    <definedName name="_xlchart.v1.6" hidden="1">Model!$S$8:$S$1008</definedName>
    <definedName name="_xlchart.v1.7" hidden="1">Model!$T$8:$T$1008</definedName>
    <definedName name="_xlchart.v1.8" hidden="1">Model!$U$8:$U$1008</definedName>
    <definedName name="_xlchart.v1.9" hidden="1">Model!$V$8:$V$1008</definedName>
    <definedName name="_xlcn.LinkedTable_Table11" hidden="1">Model!$B$34:$C$36</definedName>
    <definedName name="RiskMultipleCPUSupportEnabled" hidden="1">TRUE</definedName>
  </definedNames>
  <calcPr calcId="17102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LinkedTable_Table1"/>
        </x15:modelTables>
      </x15:dataModel>
    </ext>
  </extLst>
</workbook>
</file>

<file path=xl/calcChain.xml><?xml version="1.0" encoding="utf-8"?>
<calcChain xmlns="http://schemas.openxmlformats.org/spreadsheetml/2006/main">
  <c r="L10" i="5" l="1"/>
  <c r="M10" i="5"/>
  <c r="N10" i="5"/>
  <c r="O10" i="5"/>
  <c r="P10" i="5"/>
  <c r="Q10" i="5"/>
  <c r="L11" i="5"/>
  <c r="M11" i="5"/>
  <c r="N11" i="5"/>
  <c r="O11" i="5"/>
  <c r="P11" i="5"/>
  <c r="Q11" i="5"/>
  <c r="L12" i="5"/>
  <c r="M12" i="5"/>
  <c r="N12" i="5"/>
  <c r="O12" i="5"/>
  <c r="P12" i="5"/>
  <c r="Q12" i="5"/>
  <c r="L13" i="5"/>
  <c r="M13" i="5"/>
  <c r="N13" i="5"/>
  <c r="O13" i="5"/>
  <c r="P13" i="5"/>
  <c r="Q13" i="5"/>
  <c r="M9" i="5"/>
  <c r="N9" i="5"/>
  <c r="O9" i="5"/>
  <c r="P9" i="5"/>
  <c r="Q9" i="5"/>
  <c r="L9" i="5"/>
  <c r="M6" i="5"/>
  <c r="N6" i="5"/>
  <c r="O6" i="5"/>
  <c r="P6" i="5"/>
  <c r="Q6" i="5"/>
  <c r="L6" i="5"/>
  <c r="L5" i="5"/>
  <c r="M5" i="5"/>
  <c r="N5" i="5"/>
  <c r="O5" i="5"/>
  <c r="P5" i="5"/>
  <c r="Q5" i="5"/>
  <c r="C10" i="5"/>
  <c r="D10" i="5"/>
  <c r="E10" i="5"/>
  <c r="F10" i="5"/>
  <c r="G10" i="5"/>
  <c r="H10" i="5"/>
  <c r="C11" i="5"/>
  <c r="D11" i="5"/>
  <c r="E11" i="5"/>
  <c r="F11" i="5"/>
  <c r="G11" i="5"/>
  <c r="H11" i="5"/>
  <c r="C12" i="5"/>
  <c r="D12" i="5"/>
  <c r="E12" i="5"/>
  <c r="F12" i="5"/>
  <c r="G12" i="5"/>
  <c r="H12" i="5"/>
  <c r="C13" i="5"/>
  <c r="D13" i="5"/>
  <c r="E13" i="5"/>
  <c r="F13" i="5"/>
  <c r="G13" i="5"/>
  <c r="H13" i="5"/>
  <c r="D9" i="5"/>
  <c r="E9" i="5"/>
  <c r="F9" i="5"/>
  <c r="G9" i="5"/>
  <c r="H9" i="5"/>
  <c r="C9" i="5"/>
  <c r="D6" i="5"/>
  <c r="E6" i="5"/>
  <c r="F6" i="5"/>
  <c r="G6" i="5"/>
  <c r="H6" i="5"/>
  <c r="C6" i="5"/>
  <c r="D5" i="5"/>
  <c r="E5" i="5"/>
  <c r="F5" i="5"/>
  <c r="G5" i="5"/>
  <c r="H5" i="5"/>
  <c r="C5" i="5"/>
  <c r="G20" i="5" l="1"/>
  <c r="C3" i="4"/>
  <c r="D3" i="4" s="1"/>
  <c r="C4" i="4"/>
  <c r="D4" i="4"/>
  <c r="C5" i="4"/>
  <c r="D5" i="4" s="1"/>
  <c r="C6" i="4"/>
  <c r="D6" i="4"/>
  <c r="C7" i="4"/>
  <c r="D7" i="4" s="1"/>
  <c r="C8" i="4"/>
  <c r="D8" i="4" s="1"/>
  <c r="C9" i="4"/>
  <c r="D9" i="4" s="1"/>
  <c r="C10" i="4"/>
  <c r="D10" i="4" s="1"/>
  <c r="C11" i="4"/>
  <c r="D11" i="4" s="1"/>
  <c r="C12" i="4"/>
  <c r="D12" i="4"/>
  <c r="C13" i="4"/>
  <c r="D13" i="4" s="1"/>
  <c r="C14" i="4"/>
  <c r="D14" i="4"/>
  <c r="C15" i="4"/>
  <c r="D15" i="4" s="1"/>
  <c r="C16" i="4"/>
  <c r="D16" i="4" s="1"/>
  <c r="C17" i="4"/>
  <c r="D17" i="4" s="1"/>
  <c r="C18" i="4"/>
  <c r="D18" i="4" s="1"/>
  <c r="C19" i="4"/>
  <c r="D19" i="4" s="1"/>
  <c r="C20" i="4"/>
  <c r="D20" i="4"/>
  <c r="C21" i="4"/>
  <c r="D21" i="4" s="1"/>
  <c r="C22" i="4"/>
  <c r="D22" i="4"/>
  <c r="C23" i="4"/>
  <c r="D23" i="4" s="1"/>
  <c r="C24" i="4"/>
  <c r="D24" i="4" s="1"/>
  <c r="C25" i="4"/>
  <c r="D25" i="4" s="1"/>
  <c r="C26" i="4"/>
  <c r="D26" i="4" s="1"/>
  <c r="C27" i="4"/>
  <c r="D27" i="4" s="1"/>
  <c r="C28" i="4"/>
  <c r="D28" i="4"/>
  <c r="C29" i="4"/>
  <c r="D29" i="4" s="1"/>
  <c r="C30" i="4"/>
  <c r="D30" i="4"/>
  <c r="C31" i="4"/>
  <c r="D31" i="4" s="1"/>
  <c r="C32" i="4"/>
  <c r="D32" i="4" s="1"/>
  <c r="C33" i="4"/>
  <c r="D33" i="4" s="1"/>
  <c r="C34" i="4"/>
  <c r="D34" i="4" s="1"/>
  <c r="C35" i="4"/>
  <c r="D35" i="4" s="1"/>
  <c r="C36" i="4"/>
  <c r="D36" i="4"/>
  <c r="C20" i="3"/>
  <c r="C21" i="3" s="1"/>
  <c r="C22" i="3" s="1"/>
  <c r="C11" i="3"/>
  <c r="C12" i="3" s="1"/>
  <c r="C13" i="3" s="1"/>
  <c r="C14" i="3" s="1"/>
  <c r="C15" i="3" s="1"/>
  <c r="C16" i="3" s="1"/>
  <c r="C4" i="3"/>
  <c r="C5" i="3" s="1"/>
  <c r="C6" i="3" s="1"/>
  <c r="C7" i="3" s="1"/>
  <c r="C8" i="3" s="1"/>
  <c r="C7" i="1"/>
  <c r="G16" i="5" l="1"/>
  <c r="C13" i="1"/>
  <c r="G18" i="5" l="1"/>
  <c r="Q16" i="5"/>
  <c r="B16" i="1"/>
  <c r="C14" i="1"/>
  <c r="C16" i="1" s="1"/>
  <c r="F35" i="1" l="1"/>
  <c r="C5" i="1"/>
  <c r="C4" i="1"/>
  <c r="C15" i="1"/>
  <c r="C25" i="1" s="1"/>
  <c r="C8" i="1" l="1"/>
  <c r="C29" i="1" s="1"/>
  <c r="F36" i="1"/>
  <c r="C43" i="1" s="1"/>
  <c r="C16" i="5"/>
  <c r="C38" i="1"/>
  <c r="C26" i="1" l="1"/>
  <c r="C39" i="1" s="1"/>
  <c r="C9" i="1"/>
  <c r="C19" i="1"/>
  <c r="C45" i="1" s="1"/>
  <c r="F38" i="1" l="1"/>
  <c r="R8" i="1" s="1"/>
  <c r="C30" i="1"/>
  <c r="F42" i="1"/>
  <c r="F43" i="1" s="1"/>
  <c r="F41" i="1"/>
  <c r="C40" i="1" s="1"/>
  <c r="C41" i="1" l="1"/>
  <c r="C44" i="1" s="1"/>
  <c r="C46" i="1" s="1"/>
  <c r="C31" i="1"/>
  <c r="J8" i="1" l="1"/>
</calcChain>
</file>

<file path=xl/connections.xml><?xml version="1.0" encoding="utf-8"?>
<connections xmlns="http://schemas.openxmlformats.org/spreadsheetml/2006/main">
  <connection id="1" name="LinkedTable_Table1" type="102" refreshedVersion="6" minRefreshableVersion="5">
    <extLst>
      <ext xmlns:x15="http://schemas.microsoft.com/office/spreadsheetml/2010/11/main" uri="{DE250136-89BD-433C-8126-D09CA5730AF9}">
        <x15:connection id="Table1">
          <x15:rangePr sourceName="_xlcn.LinkedTable_Table11"/>
        </x15:connection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<sst xmlns="http://schemas.openxmlformats.org/spreadsheetml/2006/main" count="78" uniqueCount="63">
  <si>
    <t>Acres planted</t>
  </si>
  <si>
    <t>Green coffee yield</t>
  </si>
  <si>
    <t>Mean</t>
  </si>
  <si>
    <t>Standard deviation</t>
  </si>
  <si>
    <t>Standardized</t>
  </si>
  <si>
    <t>Decision</t>
  </si>
  <si>
    <t>% of crop purchased</t>
  </si>
  <si>
    <t>Advance order deposit</t>
  </si>
  <si>
    <t>Interested people</t>
  </si>
  <si>
    <t>Deposit required</t>
  </si>
  <si>
    <t>Probability of placing order</t>
  </si>
  <si>
    <t>Probability of completing order</t>
  </si>
  <si>
    <t>interest&gt;orders placed</t>
  </si>
  <si>
    <t>Standardized2</t>
  </si>
  <si>
    <t>Amount on shelf</t>
  </si>
  <si>
    <t>Quantity demanded</t>
  </si>
  <si>
    <t>Quantity supplied</t>
  </si>
  <si>
    <t>Off-shelf demand (lbs)</t>
  </si>
  <si>
    <t>Probability</t>
  </si>
  <si>
    <t>Decision #</t>
  </si>
  <si>
    <t>October/November:</t>
  </si>
  <si>
    <t>December:</t>
  </si>
  <si>
    <t>Cost per pound</t>
  </si>
  <si>
    <t>Percent lost during roasting</t>
  </si>
  <si>
    <t>Beans purchased</t>
  </si>
  <si>
    <t>Beans available to sell</t>
  </si>
  <si>
    <t>Revenue</t>
  </si>
  <si>
    <t>Advance orders</t>
  </si>
  <si>
    <t>Total revenue for advance</t>
  </si>
  <si>
    <t xml:space="preserve">Off the shelf </t>
  </si>
  <si>
    <t>Month received</t>
  </si>
  <si>
    <t>October</t>
  </si>
  <si>
    <t>November</t>
  </si>
  <si>
    <t>December</t>
  </si>
  <si>
    <t>Total revenue</t>
  </si>
  <si>
    <t>Total cost</t>
  </si>
  <si>
    <t>Total profit</t>
  </si>
  <si>
    <t>Refunds</t>
  </si>
  <si>
    <t>Deposits forfeited</t>
  </si>
  <si>
    <t>Beans (lbs) forfeited</t>
  </si>
  <si>
    <t>Lost Sales</t>
  </si>
  <si>
    <t>Collected deposits</t>
  </si>
  <si>
    <t>Collected at pickup</t>
  </si>
  <si>
    <t>Off the shelf revenue</t>
  </si>
  <si>
    <t>Demand 2 (for shelf purchases)</t>
  </si>
  <si>
    <t>Off-shelf demand</t>
  </si>
  <si>
    <t>Delivery probability</t>
  </si>
  <si>
    <t>Historical Crop Yield Data</t>
  </si>
  <si>
    <t>Percentiles</t>
  </si>
  <si>
    <t>Statistics</t>
  </si>
  <si>
    <t>StDev</t>
  </si>
  <si>
    <t>Total cost for beans</t>
  </si>
  <si>
    <t>Quantities</t>
  </si>
  <si>
    <t>Coffee Bean Yield</t>
  </si>
  <si>
    <t>Variables and Constants</t>
  </si>
  <si>
    <t>Probability for Orders</t>
  </si>
  <si>
    <t>Highest Profit</t>
  </si>
  <si>
    <t>Demand 1 (advance orders)</t>
  </si>
  <si>
    <t>Average Profit</t>
  </si>
  <si>
    <t>Probable number placing orders</t>
  </si>
  <si>
    <t>Goodwill Lost?</t>
  </si>
  <si>
    <t>Tradeoff</t>
  </si>
  <si>
    <t>Lost sales for plan with highest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</si>
</sst>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2" fillId="2" borderId="0" applyNumberFormat="0" applyBorder="0" applyAlignment="0" applyProtection="0"/>
    <xf numFmtId="44" fontId="2" fillId="0" borderId="0" applyFont="0" applyFill="0" applyBorder="0" applyAlignment="0" applyProtection="0"/>
    <xf numFmtId="0" fontId="3" fillId="3" borderId="0" applyNumberFormat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0" fillId="0" borderId="1" xfId="0" applyBorder="1"/>
    <xf numFmtId="9" fontId="2" fillId="2" borderId="0" xfId="2" applyNumberFormat="1"/>
    <xf numFmtId="0" fontId="2" fillId="2" borderId="0" xfId="2"/>
    <xf numFmtId="0" fontId="2" fillId="2" borderId="0" xfId="2" applyNumberFormat="1"/>
    <xf numFmtId="10" fontId="2" fillId="2" borderId="0" xfId="2" applyNumberFormat="1"/>
    <xf numFmtId="1" fontId="0" fillId="0" borderId="0" xfId="0" applyNumberFormat="1"/>
    <xf numFmtId="0" fontId="0" fillId="0" borderId="0" xfId="0" applyFill="1"/>
    <xf numFmtId="9" fontId="0" fillId="4" borderId="0" xfId="1" applyFont="1" applyFill="1"/>
    <xf numFmtId="44" fontId="0" fillId="0" borderId="0" xfId="3" applyFont="1"/>
    <xf numFmtId="0" fontId="0" fillId="4" borderId="0" xfId="0" applyFill="1"/>
    <xf numFmtId="0" fontId="0" fillId="6" borderId="0" xfId="0" applyFill="1"/>
    <xf numFmtId="44" fontId="0" fillId="0" borderId="0" xfId="0" applyNumberFormat="1"/>
    <xf numFmtId="44" fontId="1" fillId="0" borderId="0" xfId="0" applyNumberFormat="1" applyFont="1"/>
    <xf numFmtId="44" fontId="0" fillId="7" borderId="0" xfId="0" applyNumberFormat="1" applyFill="1"/>
    <xf numFmtId="0" fontId="0" fillId="0" borderId="0" xfId="0" applyNumberFormat="1"/>
    <xf numFmtId="1" fontId="0" fillId="6" borderId="0" xfId="0" applyNumberFormat="1" applyFill="1"/>
    <xf numFmtId="44" fontId="4" fillId="5" borderId="0" xfId="0" applyNumberFormat="1" applyFont="1" applyFill="1"/>
    <xf numFmtId="0" fontId="1" fillId="0" borderId="1" xfId="0" applyFont="1" applyBorder="1" applyAlignment="1">
      <alignment horizontal="center"/>
    </xf>
    <xf numFmtId="1" fontId="0" fillId="0" borderId="0" xfId="0" applyNumberFormat="1" applyBorder="1"/>
    <xf numFmtId="0" fontId="0" fillId="0" borderId="0" xfId="0" applyFont="1"/>
    <xf numFmtId="0" fontId="0" fillId="0" borderId="0" xfId="0" applyFont="1" applyFill="1" applyBorder="1"/>
    <xf numFmtId="0" fontId="4" fillId="0" borderId="0" xfId="0" applyFont="1"/>
    <xf numFmtId="0" fontId="6" fillId="0" borderId="0" xfId="0" applyFont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6" borderId="0" xfId="0" applyFill="1" applyAlignment="1"/>
    <xf numFmtId="164" fontId="0" fillId="0" borderId="0" xfId="3" applyNumberFormat="1" applyFont="1"/>
    <xf numFmtId="164" fontId="0" fillId="0" borderId="0" xfId="0" applyNumberFormat="1"/>
    <xf numFmtId="1" fontId="4" fillId="5" borderId="0" xfId="0" applyNumberFormat="1" applyFont="1" applyFill="1"/>
    <xf numFmtId="0" fontId="7" fillId="0" borderId="0" xfId="0" applyFont="1" applyAlignment="1">
      <alignment wrapText="1"/>
    </xf>
    <xf numFmtId="0" fontId="8" fillId="0" borderId="0" xfId="0" applyFont="1"/>
    <xf numFmtId="164" fontId="8" fillId="0" borderId="0" xfId="0" applyNumberFormat="1" applyFont="1"/>
    <xf numFmtId="0" fontId="0" fillId="0" borderId="6" xfId="0" applyBorder="1"/>
    <xf numFmtId="164" fontId="0" fillId="0" borderId="3" xfId="3" applyNumberFormat="1" applyFont="1" applyBorder="1"/>
    <xf numFmtId="0" fontId="3" fillId="3" borderId="8" xfId="4" applyBorder="1"/>
    <xf numFmtId="0" fontId="0" fillId="0" borderId="7" xfId="0" applyBorder="1"/>
    <xf numFmtId="0" fontId="5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5">
    <cellStyle name="20% - Accent1" xfId="2" builtinId="30"/>
    <cellStyle name="Bad" xfId="4" builtinId="27"/>
    <cellStyle name="Currency" xfId="3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</cx:chartData>
  <cx:chart>
    <cx:title pos="t" align="ctr" overlay="0">
      <cx:tx>
        <cx:txData>
          <cx:v>Distribution of Average Profit</cx:v>
        </cx:txData>
      </cx:tx>
      <cx:txPr>
        <a:bodyPr rot="0" spcFirstLastPara="1" vertOverflow="ellipsis" vert="horz" wrap="square" lIns="0" tIns="0" rIns="0" bIns="0" anchor="ctr" anchorCtr="1"/>
        <a:lstStyle/>
        <a:p>
          <a:pPr algn="ctr">
            <a:defRPr/>
          </a:pPr>
          <a:r>
            <a:rPr lang="en-US"/>
            <a:t>Distribution of Average Profit</a:t>
          </a:r>
        </a:p>
      </cx:txPr>
    </cx:title>
    <cx:plotArea>
      <cx:plotAreaRegion>
        <cx:series layoutId="boxWhisker" uniqueId="{E611D5AF-C7D4-44A8-88B6-84099F044132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14C00B16-87C6-40C3-AF31-7CE961AE0791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7048F6A7-0C28-4424-BFCB-B6770105F818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FE12DB83-6DDD-4443-8368-CBB72E29C9A1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8785F500-D80D-4FED-B5CB-90AF08E981F8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6EAD3698-749D-41DC-A314-82E66349D2F6}">
          <cx:dataId val="5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  <cx:data id="1">
      <cx:numDim type="val">
        <cx:f>_xlchart.v1.7</cx:f>
      </cx:numDim>
    </cx:data>
    <cx:data id="2">
      <cx:numDim type="val">
        <cx:f>_xlchart.v1.8</cx:f>
      </cx:numDim>
    </cx:data>
    <cx:data id="3">
      <cx:numDim type="val">
        <cx:f>_xlchart.v1.9</cx:f>
      </cx:numDim>
    </cx:data>
    <cx:data id="4">
      <cx:numDim type="val">
        <cx:f>_xlchart.v1.10</cx:f>
      </cx:numDim>
    </cx:data>
    <cx:data id="5">
      <cx:numDim type="val">
        <cx:f>_xlchart.v1.11</cx:f>
      </cx:numDim>
    </cx:data>
  </cx:chartData>
  <cx:chart>
    <cx:title pos="t" align="ctr" overlay="0">
      <cx:tx>
        <cx:txData>
          <cx:v>Distribution of Lost Sales</cx:v>
        </cx:txData>
      </cx:tx>
      <cx:txPr>
        <a:bodyPr rot="0" spcFirstLastPara="1" vertOverflow="ellipsis" vert="horz" wrap="square" lIns="0" tIns="0" rIns="0" bIns="0" anchor="ctr" anchorCtr="1"/>
        <a:lstStyle/>
        <a:p>
          <a:pPr algn="ctr">
            <a:defRPr/>
          </a:pPr>
          <a:r>
            <a:rPr lang="en-US"/>
            <a:t>Distribution of Lost Sales</a:t>
          </a:r>
        </a:p>
      </cx:txPr>
    </cx:title>
    <cx:plotArea>
      <cx:plotAreaRegion>
        <cx:series layoutId="boxWhisker" uniqueId="{4A8D1A09-1AA3-45B4-9B01-42AD8A4248D4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CB4139AC-73AC-4792-86FE-9C08320E6112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84218C9D-B95B-4597-87E0-2C06D4433BCC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C67FFBD1-56DD-41D4-BA01-635069E71972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2DC3246E-B395-4B19-993B-EDF944D141C6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DB755AA1-07B4-4DEC-B4E0-773F18BC86B6}">
          <cx:dataId val="5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22" fmlaLink="$D$7" max="100" page="10" val="18"/>
</file>

<file path=xl/ctrlProps/ctrlProp2.xml><?xml version="1.0" encoding="utf-8"?>
<formControlPr xmlns="http://schemas.microsoft.com/office/spreadsheetml/2009/9/main" objectType="Drop" dropStyle="combo" dx="16" fmlaLink="$C$12" fmlaRange="'Demand Tables'!$I$3:$I$8" noThreeD="1" sel="3" val="0"/>
</file>

<file path=xl/ctrlProps/ctrlProp3.xml><?xml version="1.0" encoding="utf-8"?>
<formControlPr xmlns="http://schemas.microsoft.com/office/spreadsheetml/2009/9/main" objectType="Spin" dx="22" fmlaLink="$C$18" max="40" page="10" val="9"/>
</file>

<file path=xl/ctrlProps/ctrlProp4.xml><?xml version="1.0" encoding="utf-8"?>
<formControlPr xmlns="http://schemas.microsoft.com/office/spreadsheetml/2009/9/main" objectType="Spin" dx="22" fmlaLink="$C$22" inc="50" max="3000" page="10" val="750"/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247650</xdr:colOff>
          <xdr:row>7</xdr:row>
          <xdr:rowOff>28575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19050</xdr:rowOff>
        </xdr:from>
        <xdr:to>
          <xdr:col>2</xdr:col>
          <xdr:colOff>1304925</xdr:colOff>
          <xdr:row>11</xdr:row>
          <xdr:rowOff>200025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171450</xdr:rowOff>
        </xdr:from>
        <xdr:to>
          <xdr:col>3</xdr:col>
          <xdr:colOff>238125</xdr:colOff>
          <xdr:row>18</xdr:row>
          <xdr:rowOff>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180975</xdr:rowOff>
        </xdr:from>
        <xdr:to>
          <xdr:col>3</xdr:col>
          <xdr:colOff>276225</xdr:colOff>
          <xdr:row>22</xdr:row>
          <xdr:rowOff>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695325</xdr:colOff>
      <xdr:row>23</xdr:row>
      <xdr:rowOff>133350</xdr:rowOff>
    </xdr:from>
    <xdr:to>
      <xdr:col>4</xdr:col>
      <xdr:colOff>1104900</xdr:colOff>
      <xdr:row>27</xdr:row>
      <xdr:rowOff>38100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610100" y="4657725"/>
          <a:ext cx="2019300" cy="714375"/>
        </a:xfrm>
        <a:prstGeom prst="rect">
          <a:avLst/>
        </a:prstGeom>
        <a:solidFill>
          <a:schemeClr val="lt1"/>
        </a:solidFill>
        <a:ln w="19050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 all</a:t>
          </a:r>
          <a:r>
            <a:rPr lang="en-US" sz="1100" baseline="0"/>
            <a:t> interested people will place orders, and not all who place orders will pick them up</a:t>
          </a:r>
          <a:endParaRPr lang="en-US" sz="1100"/>
        </a:p>
      </xdr:txBody>
    </xdr:sp>
    <xdr:clientData/>
  </xdr:twoCellAnchor>
  <xdr:twoCellAnchor>
    <xdr:from>
      <xdr:col>3</xdr:col>
      <xdr:colOff>695325</xdr:colOff>
      <xdr:row>12</xdr:row>
      <xdr:rowOff>19050</xdr:rowOff>
    </xdr:from>
    <xdr:to>
      <xdr:col>4</xdr:col>
      <xdr:colOff>1104900</xdr:colOff>
      <xdr:row>15</xdr:row>
      <xdr:rowOff>161925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4610100" y="2447925"/>
          <a:ext cx="2019300" cy="714375"/>
        </a:xfrm>
        <a:prstGeom prst="rect">
          <a:avLst/>
        </a:prstGeom>
        <a:solidFill>
          <a:schemeClr val="lt1"/>
        </a:solidFill>
        <a:ln w="19050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Data sourced</a:t>
          </a:r>
          <a:r>
            <a:rPr lang="en-US" sz="1100" baseline="0"/>
            <a:t> from Demand and Supply Tables worksheets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1209675</xdr:colOff>
      <xdr:row>20</xdr:row>
      <xdr:rowOff>142875</xdr:rowOff>
    </xdr:from>
    <xdr:to>
      <xdr:col>6</xdr:col>
      <xdr:colOff>819150</xdr:colOff>
      <xdr:row>34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9275" y="4019550"/>
              <a:ext cx="42672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104776</xdr:colOff>
      <xdr:row>18</xdr:row>
      <xdr:rowOff>66675</xdr:rowOff>
    </xdr:from>
    <xdr:to>
      <xdr:col>9</xdr:col>
      <xdr:colOff>390526</xdr:colOff>
      <xdr:row>21</xdr:row>
      <xdr:rowOff>142874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191251" y="3562350"/>
          <a:ext cx="1809750" cy="647699"/>
        </a:xfrm>
        <a:prstGeom prst="rect">
          <a:avLst/>
        </a:prstGeom>
        <a:solidFill>
          <a:schemeClr val="lt1"/>
        </a:solidFill>
        <a:ln w="19050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Using a plan with 0% deposit would reduce loss of goodwill and trust</a:t>
          </a:r>
        </a:p>
      </xdr:txBody>
    </xdr:sp>
    <xdr:clientData/>
  </xdr:twoCellAnchor>
  <xdr:twoCellAnchor>
    <xdr:from>
      <xdr:col>10</xdr:col>
      <xdr:colOff>333375</xdr:colOff>
      <xdr:row>20</xdr:row>
      <xdr:rowOff>123825</xdr:rowOff>
    </xdr:from>
    <xdr:to>
      <xdr:col>17</xdr:col>
      <xdr:colOff>542925</xdr:colOff>
      <xdr:row>33</xdr:row>
      <xdr:rowOff>161925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48700" y="4000500"/>
              <a:ext cx="4572000" cy="251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59999389629810485"/>
  </sheetPr>
  <dimension ref="B3:X1008"/>
  <sheetViews>
    <sheetView workbookViewId="0">
      <selection activeCell="Q11" sqref="Q11"/>
    </sheetView>
  </sheetViews>
  <sheetFormatPr defaultRowHeight="15" x14ac:dyDescent="0.25"/>
  <cols>
    <col min="2" max="2" width="29.5703125" customWidth="1"/>
    <col min="3" max="3" width="20" customWidth="1"/>
    <col min="4" max="4" width="24.140625" customWidth="1"/>
    <col min="5" max="5" width="28.28515625" customWidth="1"/>
    <col min="6" max="6" width="10.5703125" bestFit="1" customWidth="1"/>
    <col min="10" max="10" width="10.5703125" bestFit="1" customWidth="1"/>
    <col min="11" max="13" width="8" bestFit="1" customWidth="1"/>
    <col min="14" max="16" width="8.7109375" bestFit="1" customWidth="1"/>
  </cols>
  <sheetData>
    <row r="3" spans="2:24" ht="18.75" x14ac:dyDescent="0.3">
      <c r="B3" s="40" t="s">
        <v>53</v>
      </c>
      <c r="C3" s="40"/>
    </row>
    <row r="4" spans="2:24" x14ac:dyDescent="0.25">
      <c r="B4" s="21" t="s">
        <v>2</v>
      </c>
      <c r="C4" s="20">
        <f>AVERAGE('Supply Tables'!D3:D36)</f>
        <v>776.64516129032256</v>
      </c>
    </row>
    <row r="5" spans="2:24" x14ac:dyDescent="0.25">
      <c r="B5" s="21" t="s">
        <v>3</v>
      </c>
      <c r="C5" s="20">
        <f>_xlfn.STDEV.S('Supply Tables'!D3:D36)</f>
        <v>110.27376490265706</v>
      </c>
    </row>
    <row r="6" spans="2:24" x14ac:dyDescent="0.25">
      <c r="B6" s="21"/>
    </row>
    <row r="7" spans="2:24" ht="18.75" x14ac:dyDescent="0.3">
      <c r="B7" s="22" t="s">
        <v>23</v>
      </c>
      <c r="C7" s="9">
        <f>D7/100</f>
        <v>0.18</v>
      </c>
      <c r="D7" s="23">
        <v>18</v>
      </c>
      <c r="K7" s="40" t="s">
        <v>58</v>
      </c>
      <c r="L7" s="40"/>
      <c r="M7" s="40"/>
      <c r="N7" s="40"/>
      <c r="O7" s="40"/>
      <c r="P7" s="40"/>
      <c r="S7" s="40" t="s">
        <v>40</v>
      </c>
      <c r="T7" s="40"/>
      <c r="U7" s="40"/>
      <c r="V7" s="40"/>
      <c r="W7" s="40"/>
      <c r="X7" s="40"/>
    </row>
    <row r="8" spans="2:24" x14ac:dyDescent="0.25">
      <c r="B8" s="22" t="s">
        <v>24</v>
      </c>
      <c r="C8" s="7">
        <f ca="1">_xlfn.NORM.INV(RAND(),C4,C5)*C13</f>
        <v>363.33947627269362</v>
      </c>
      <c r="J8" s="18">
        <f ca="1">C46</f>
        <v>1873.3947135457574</v>
      </c>
      <c r="K8">
        <v>1</v>
      </c>
      <c r="L8">
        <v>2</v>
      </c>
      <c r="M8">
        <v>3</v>
      </c>
      <c r="N8">
        <v>4</v>
      </c>
      <c r="O8">
        <v>5</v>
      </c>
      <c r="P8">
        <v>6</v>
      </c>
      <c r="R8" s="32">
        <f ca="1">F38</f>
        <v>93.061629456391188</v>
      </c>
      <c r="S8">
        <v>1</v>
      </c>
      <c r="T8">
        <v>2</v>
      </c>
      <c r="U8">
        <v>3</v>
      </c>
      <c r="V8">
        <v>4</v>
      </c>
      <c r="W8">
        <v>5</v>
      </c>
      <c r="X8">
        <v>6</v>
      </c>
    </row>
    <row r="9" spans="2:24" x14ac:dyDescent="0.25">
      <c r="B9" s="22" t="s">
        <v>25</v>
      </c>
      <c r="C9" s="7">
        <f ca="1">(1-C7)*C8</f>
        <v>297.93837054360881</v>
      </c>
      <c r="J9">
        <v>1</v>
      </c>
      <c r="K9" s="30">
        <f t="dataTable" ref="K9:P1008" dt2D="1" dtr="1" r1="C12" r2="K4" ca="1"/>
        <v>2782.389496044992</v>
      </c>
      <c r="L9" s="30">
        <v>3973.1559776109539</v>
      </c>
      <c r="M9" s="30">
        <v>2570.2241947966004</v>
      </c>
      <c r="N9" s="30">
        <v>1951.2843879816019</v>
      </c>
      <c r="O9" s="30">
        <v>657.96152286347751</v>
      </c>
      <c r="P9" s="30">
        <v>1756.528104806649</v>
      </c>
      <c r="R9">
        <v>1</v>
      </c>
      <c r="S9" s="30">
        <f t="dataTable" ref="S9:X1008" dt2D="1" dtr="1" r1="C12" r2="R3" ca="1"/>
        <v>194.42869454656358</v>
      </c>
      <c r="T9" s="30">
        <v>309.66264217475242</v>
      </c>
      <c r="U9" s="30">
        <v>103.61219456903427</v>
      </c>
      <c r="V9" s="30">
        <v>0</v>
      </c>
      <c r="W9" s="30">
        <v>0</v>
      </c>
      <c r="X9" s="30">
        <v>0</v>
      </c>
    </row>
    <row r="10" spans="2:24" x14ac:dyDescent="0.25">
      <c r="J10">
        <v>2</v>
      </c>
      <c r="K10" s="30">
        <v>4109.1986866990746</v>
      </c>
      <c r="L10" s="30">
        <v>4338.4955950783551</v>
      </c>
      <c r="M10" s="30">
        <v>3874.460951993874</v>
      </c>
      <c r="N10" s="30">
        <v>1750.2677801198051</v>
      </c>
      <c r="O10" s="30">
        <v>1157.7379951348112</v>
      </c>
      <c r="P10" s="30">
        <v>-3807.2547372001773</v>
      </c>
      <c r="R10">
        <v>2</v>
      </c>
      <c r="S10" s="30">
        <v>211.64633168456527</v>
      </c>
      <c r="T10" s="30">
        <v>218.72933204272846</v>
      </c>
      <c r="U10" s="30">
        <v>101.38102429971588</v>
      </c>
      <c r="V10" s="30">
        <v>0</v>
      </c>
      <c r="W10" s="30">
        <v>0</v>
      </c>
      <c r="X10" s="30">
        <v>0</v>
      </c>
    </row>
    <row r="11" spans="2:24" ht="19.5" thickBot="1" x14ac:dyDescent="0.35">
      <c r="B11" s="40" t="s">
        <v>54</v>
      </c>
      <c r="C11" s="43"/>
      <c r="J11">
        <v>3</v>
      </c>
      <c r="K11" s="30">
        <v>4072.4856247681732</v>
      </c>
      <c r="L11" s="30">
        <v>4013.7170620055763</v>
      </c>
      <c r="M11" s="30">
        <v>2278.7865765126012</v>
      </c>
      <c r="N11" s="30">
        <v>1538.0663501452245</v>
      </c>
      <c r="O11" s="30">
        <v>1212.4531462209752</v>
      </c>
      <c r="P11" s="30">
        <v>-611.80275675028679</v>
      </c>
      <c r="R11">
        <v>3</v>
      </c>
      <c r="S11" s="30">
        <v>341.14052533036346</v>
      </c>
      <c r="T11" s="30">
        <v>285.45727222619837</v>
      </c>
      <c r="U11" s="30">
        <v>208.75078288694544</v>
      </c>
      <c r="V11" s="30">
        <v>0</v>
      </c>
      <c r="W11" s="30">
        <v>63.399460021978371</v>
      </c>
      <c r="X11" s="30">
        <v>56.0151374577095</v>
      </c>
    </row>
    <row r="12" spans="2:24" ht="16.5" thickTop="1" thickBot="1" x14ac:dyDescent="0.3">
      <c r="B12" t="s">
        <v>19</v>
      </c>
      <c r="C12" s="38">
        <v>3</v>
      </c>
      <c r="D12" s="39"/>
      <c r="J12">
        <v>4</v>
      </c>
      <c r="K12" s="30">
        <v>2915.771847858683</v>
      </c>
      <c r="L12" s="30">
        <v>2048.1916192119152</v>
      </c>
      <c r="M12" s="30">
        <v>3400.2513878338386</v>
      </c>
      <c r="N12" s="30">
        <v>624.7103996260721</v>
      </c>
      <c r="O12" s="30">
        <v>629.0114225033858</v>
      </c>
      <c r="P12" s="30">
        <v>1288.0982981544903</v>
      </c>
      <c r="R12">
        <v>4</v>
      </c>
      <c r="S12" s="30">
        <v>306.63922064714308</v>
      </c>
      <c r="T12" s="30">
        <v>222.15689110908477</v>
      </c>
      <c r="U12" s="30">
        <v>4.5634047051516973</v>
      </c>
      <c r="V12" s="30">
        <v>0</v>
      </c>
      <c r="W12" s="30">
        <v>49.392901879629221</v>
      </c>
      <c r="X12" s="30">
        <v>0</v>
      </c>
    </row>
    <row r="13" spans="2:24" ht="15.75" thickTop="1" x14ac:dyDescent="0.25">
      <c r="B13" t="s">
        <v>6</v>
      </c>
      <c r="C13" s="9">
        <f>VLOOKUP(C12,'Demand Tables'!I3:J8,2,FALSE)</f>
        <v>0.5</v>
      </c>
      <c r="J13">
        <v>5</v>
      </c>
      <c r="K13" s="30">
        <v>2572.5993728405829</v>
      </c>
      <c r="L13" s="30">
        <v>2938.2370492721798</v>
      </c>
      <c r="M13" s="30">
        <v>1740.2712781585406</v>
      </c>
      <c r="N13" s="30">
        <v>461.86103487868695</v>
      </c>
      <c r="O13" s="30">
        <v>2088.4439104226331</v>
      </c>
      <c r="P13" s="30">
        <v>-2754.2162760693463</v>
      </c>
      <c r="R13">
        <v>5</v>
      </c>
      <c r="S13" s="30">
        <v>256.74836958764746</v>
      </c>
      <c r="T13" s="30">
        <v>285.80585798473385</v>
      </c>
      <c r="U13" s="30">
        <v>220.50603695026814</v>
      </c>
      <c r="V13" s="30">
        <v>0</v>
      </c>
      <c r="W13" s="30">
        <v>0</v>
      </c>
      <c r="X13" s="30">
        <v>0</v>
      </c>
    </row>
    <row r="14" spans="2:24" x14ac:dyDescent="0.25">
      <c r="B14" t="s">
        <v>7</v>
      </c>
      <c r="C14" s="9">
        <f>VLOOKUP(C12,'Demand Tables'!I3:K8,3,FALSE)</f>
        <v>1</v>
      </c>
      <c r="J14">
        <v>6</v>
      </c>
      <c r="K14" s="30">
        <v>2863.2318023662301</v>
      </c>
      <c r="L14" s="30">
        <v>2614.1443856572751</v>
      </c>
      <c r="M14" s="30">
        <v>3395.5424665060668</v>
      </c>
      <c r="N14" s="30">
        <v>2353.4159668563107</v>
      </c>
      <c r="O14" s="30">
        <v>1583.4601127891201</v>
      </c>
      <c r="P14" s="30">
        <v>392.62396097080727</v>
      </c>
      <c r="R14">
        <v>6</v>
      </c>
      <c r="S14" s="30">
        <v>259.49254795051695</v>
      </c>
      <c r="T14" s="30">
        <v>214.71197897325885</v>
      </c>
      <c r="U14" s="30">
        <v>124.93550497402151</v>
      </c>
      <c r="V14" s="30">
        <v>0</v>
      </c>
      <c r="W14" s="30">
        <v>0</v>
      </c>
      <c r="X14" s="30">
        <v>0</v>
      </c>
    </row>
    <row r="15" spans="2:24" x14ac:dyDescent="0.25">
      <c r="B15" t="s">
        <v>10</v>
      </c>
      <c r="C15" s="9">
        <f>VLOOKUP(C14,'Demand Tables'!J11:K13,2,FALSE)</f>
        <v>0.5</v>
      </c>
      <c r="J15">
        <v>7</v>
      </c>
      <c r="K15" s="30">
        <v>2839.1288228449826</v>
      </c>
      <c r="L15" s="30">
        <v>3366.3265480094287</v>
      </c>
      <c r="M15" s="30">
        <v>2005.5252690599596</v>
      </c>
      <c r="N15" s="30">
        <v>228.37767407877709</v>
      </c>
      <c r="O15" s="30">
        <v>2032.6595367840328</v>
      </c>
      <c r="P15" s="30">
        <v>-1445.382216421981</v>
      </c>
      <c r="R15">
        <v>7</v>
      </c>
      <c r="S15" s="30">
        <v>311.9838914541109</v>
      </c>
      <c r="T15" s="30">
        <v>383.48773222051358</v>
      </c>
      <c r="U15" s="30">
        <v>195.39415703642777</v>
      </c>
      <c r="V15" s="30">
        <v>187.49930453013451</v>
      </c>
      <c r="W15" s="30">
        <v>0</v>
      </c>
      <c r="X15" s="30">
        <v>27.759051210832581</v>
      </c>
    </row>
    <row r="16" spans="2:24" x14ac:dyDescent="0.25">
      <c r="B16" t="str">
        <f>'Demand Tables'!L10</f>
        <v>Probability of completing order</v>
      </c>
      <c r="C16" s="9">
        <f>VLOOKUP(C14,'Demand Tables'!J11:L13,3,FALSE)</f>
        <v>0.99990000000000001</v>
      </c>
      <c r="J16">
        <v>8</v>
      </c>
      <c r="K16" s="30">
        <v>2763.8200017001204</v>
      </c>
      <c r="L16" s="30">
        <v>1987.6478007354181</v>
      </c>
      <c r="M16" s="30">
        <v>1842.124083483196</v>
      </c>
      <c r="N16" s="30">
        <v>19.133219934147746</v>
      </c>
      <c r="O16" s="30">
        <v>2274.3554360965873</v>
      </c>
      <c r="P16" s="30">
        <v>-2638.7815063088055</v>
      </c>
      <c r="R16">
        <v>8</v>
      </c>
      <c r="S16" s="30">
        <v>285.73888076055272</v>
      </c>
      <c r="T16" s="30">
        <v>180.10520757452946</v>
      </c>
      <c r="U16" s="30">
        <v>271.77295541696503</v>
      </c>
      <c r="V16" s="30">
        <v>69.101909149414155</v>
      </c>
      <c r="W16" s="30">
        <v>0</v>
      </c>
      <c r="X16" s="30">
        <v>0</v>
      </c>
    </row>
    <row r="17" spans="2:24" x14ac:dyDescent="0.25">
      <c r="J17">
        <v>9</v>
      </c>
      <c r="K17" s="30">
        <v>3948.2828320021595</v>
      </c>
      <c r="L17" s="30">
        <v>3979.6794687964921</v>
      </c>
      <c r="M17" s="30">
        <v>2037.2164099744064</v>
      </c>
      <c r="N17" s="30">
        <v>189.84813842001313</v>
      </c>
      <c r="O17" s="30">
        <v>-88.807490162505019</v>
      </c>
      <c r="P17" s="30">
        <v>-119.11918174311268</v>
      </c>
      <c r="R17">
        <v>9</v>
      </c>
      <c r="S17" s="30">
        <v>175.1287151289053</v>
      </c>
      <c r="T17" s="30">
        <v>369.02818047279573</v>
      </c>
      <c r="U17" s="30">
        <v>207.84587485261653</v>
      </c>
      <c r="V17" s="30">
        <v>0</v>
      </c>
      <c r="W17" s="30">
        <v>82.795230264746124</v>
      </c>
      <c r="X17" s="30">
        <v>33.671778766616967</v>
      </c>
    </row>
    <row r="18" spans="2:24" x14ac:dyDescent="0.25">
      <c r="B18" t="s">
        <v>22</v>
      </c>
      <c r="C18" s="10">
        <v>9</v>
      </c>
      <c r="J18">
        <v>10</v>
      </c>
      <c r="K18" s="30">
        <v>2423.4279282010366</v>
      </c>
      <c r="L18" s="30">
        <v>3043.2671488810392</v>
      </c>
      <c r="M18" s="30">
        <v>3790.1203165255415</v>
      </c>
      <c r="N18" s="30">
        <v>954.61831523911951</v>
      </c>
      <c r="O18" s="30">
        <v>195.69734831554706</v>
      </c>
      <c r="P18" s="30">
        <v>-893.25660968362536</v>
      </c>
      <c r="R18">
        <v>10</v>
      </c>
      <c r="S18" s="30">
        <v>214.90721078032817</v>
      </c>
      <c r="T18" s="30">
        <v>245.03525672056077</v>
      </c>
      <c r="U18" s="30">
        <v>180.52228372817547</v>
      </c>
      <c r="V18" s="30">
        <v>0</v>
      </c>
      <c r="W18" s="30">
        <v>27.392892424589604</v>
      </c>
      <c r="X18" s="30">
        <v>0</v>
      </c>
    </row>
    <row r="19" spans="2:24" x14ac:dyDescent="0.25">
      <c r="B19" t="s">
        <v>51</v>
      </c>
      <c r="C19" s="10">
        <f ca="1">C18*C8</f>
        <v>3270.0552864542424</v>
      </c>
      <c r="J19">
        <v>11</v>
      </c>
      <c r="K19" s="30">
        <v>2287.5789205431693</v>
      </c>
      <c r="L19" s="30">
        <v>3041.7134522102897</v>
      </c>
      <c r="M19" s="30">
        <v>2117.4487808669828</v>
      </c>
      <c r="N19" s="30">
        <v>1336.0941034219177</v>
      </c>
      <c r="O19" s="30">
        <v>2397.6530628386672</v>
      </c>
      <c r="P19" s="30">
        <v>-264.96665675300301</v>
      </c>
      <c r="R19">
        <v>11</v>
      </c>
      <c r="S19" s="30">
        <v>164.5635088122624</v>
      </c>
      <c r="T19" s="30">
        <v>266.87354316873132</v>
      </c>
      <c r="U19" s="30">
        <v>80.93479170312969</v>
      </c>
      <c r="V19" s="30">
        <v>0</v>
      </c>
      <c r="W19" s="30">
        <v>0</v>
      </c>
      <c r="X19" s="30">
        <v>0</v>
      </c>
    </row>
    <row r="20" spans="2:24" x14ac:dyDescent="0.25">
      <c r="J20">
        <v>12</v>
      </c>
      <c r="K20" s="30">
        <v>2884.141645275437</v>
      </c>
      <c r="L20" s="30">
        <v>4071.6766751434966</v>
      </c>
      <c r="M20" s="30">
        <v>3550.5677953377017</v>
      </c>
      <c r="N20" s="30">
        <v>2030.42512908139</v>
      </c>
      <c r="O20" s="30">
        <v>973.68422451258539</v>
      </c>
      <c r="P20" s="30">
        <v>-413.01542435327974</v>
      </c>
      <c r="R20">
        <v>12</v>
      </c>
      <c r="S20" s="30">
        <v>339.42453935467466</v>
      </c>
      <c r="T20" s="30">
        <v>397.71590336043198</v>
      </c>
      <c r="U20" s="30">
        <v>161.24194442137576</v>
      </c>
      <c r="V20" s="30">
        <v>0</v>
      </c>
      <c r="W20" s="30">
        <v>147.2047449866086</v>
      </c>
      <c r="X20" s="30">
        <v>0</v>
      </c>
    </row>
    <row r="21" spans="2:24" x14ac:dyDescent="0.25">
      <c r="J21">
        <v>13</v>
      </c>
      <c r="K21" s="30">
        <v>1677.406913337471</v>
      </c>
      <c r="L21" s="30">
        <v>2815.3839264725752</v>
      </c>
      <c r="M21" s="30">
        <v>2599.4162329957217</v>
      </c>
      <c r="N21" s="30">
        <v>2221.9702341643579</v>
      </c>
      <c r="O21" s="30">
        <v>786.13429813867697</v>
      </c>
      <c r="P21" s="30">
        <v>-708.71921585628479</v>
      </c>
      <c r="R21">
        <v>13</v>
      </c>
      <c r="S21" s="30">
        <v>252.27971849980011</v>
      </c>
      <c r="T21" s="30">
        <v>247.05216410448162</v>
      </c>
      <c r="U21" s="30">
        <v>208.0836746927188</v>
      </c>
      <c r="V21" s="30">
        <v>0</v>
      </c>
      <c r="W21" s="30">
        <v>0</v>
      </c>
      <c r="X21" s="30">
        <v>0</v>
      </c>
    </row>
    <row r="22" spans="2:24" x14ac:dyDescent="0.25">
      <c r="B22" t="s">
        <v>8</v>
      </c>
      <c r="C22" s="5">
        <v>750</v>
      </c>
      <c r="J22">
        <v>14</v>
      </c>
      <c r="K22" s="30">
        <v>2605.6791087676925</v>
      </c>
      <c r="L22" s="30">
        <v>2829.3013874029421</v>
      </c>
      <c r="M22" s="30">
        <v>1996.6535790118369</v>
      </c>
      <c r="N22" s="30">
        <v>2836.4911021451499</v>
      </c>
      <c r="O22" s="30">
        <v>1321.5046476327789</v>
      </c>
      <c r="P22" s="30">
        <v>-296.01763922634836</v>
      </c>
      <c r="R22">
        <v>14</v>
      </c>
      <c r="S22" s="30">
        <v>174.01412600647507</v>
      </c>
      <c r="T22" s="30">
        <v>246.03177140691247</v>
      </c>
      <c r="U22" s="30">
        <v>103.29269782463234</v>
      </c>
      <c r="V22" s="30">
        <v>43.352559145952569</v>
      </c>
      <c r="W22" s="30">
        <v>0</v>
      </c>
      <c r="X22" s="30">
        <v>0</v>
      </c>
    </row>
    <row r="23" spans="2:24" x14ac:dyDescent="0.25">
      <c r="B23" s="8"/>
      <c r="C23" s="8"/>
      <c r="J23">
        <v>15</v>
      </c>
      <c r="K23" s="30">
        <v>3563.7767160524872</v>
      </c>
      <c r="L23" s="30">
        <v>3060.8018147798052</v>
      </c>
      <c r="M23" s="30">
        <v>4038.0119226769807</v>
      </c>
      <c r="N23" s="30">
        <v>-554.73321907466925</v>
      </c>
      <c r="O23" s="30">
        <v>2631.2987952236817</v>
      </c>
      <c r="P23" s="30">
        <v>-89.798024594144408</v>
      </c>
      <c r="R23">
        <v>15</v>
      </c>
      <c r="S23" s="30">
        <v>276.73505437207137</v>
      </c>
      <c r="T23" s="30">
        <v>315.529859160412</v>
      </c>
      <c r="U23" s="30">
        <v>40.252896145416059</v>
      </c>
      <c r="V23" s="30">
        <v>32.324919575502634</v>
      </c>
      <c r="W23" s="30">
        <v>11.497990057800052</v>
      </c>
      <c r="X23" s="30">
        <v>0</v>
      </c>
    </row>
    <row r="24" spans="2:24" ht="18.75" x14ac:dyDescent="0.3">
      <c r="B24" s="41" t="s">
        <v>55</v>
      </c>
      <c r="C24" s="41"/>
      <c r="J24">
        <v>16</v>
      </c>
      <c r="K24" s="30">
        <v>2214.2950063243488</v>
      </c>
      <c r="L24" s="30">
        <v>2873.7740480460079</v>
      </c>
      <c r="M24" s="30">
        <v>2462.6389553359286</v>
      </c>
      <c r="N24" s="30">
        <v>674.47048365821684</v>
      </c>
      <c r="O24" s="30">
        <v>788.6549728951959</v>
      </c>
      <c r="P24" s="30">
        <v>-784.04211999663676</v>
      </c>
      <c r="R24">
        <v>16</v>
      </c>
      <c r="S24" s="30">
        <v>155.83961950050019</v>
      </c>
      <c r="T24" s="30">
        <v>209.75623263418493</v>
      </c>
      <c r="U24" s="30">
        <v>55.330212990222265</v>
      </c>
      <c r="V24" s="30">
        <v>0</v>
      </c>
      <c r="W24" s="30">
        <v>0</v>
      </c>
      <c r="X24" s="30">
        <v>0</v>
      </c>
    </row>
    <row r="25" spans="2:24" x14ac:dyDescent="0.25">
      <c r="B25" s="24" t="s">
        <v>59</v>
      </c>
      <c r="C25" s="24">
        <f ca="1">_xlfn.BINOM.INV($C$22,C15,RAND())</f>
        <v>351</v>
      </c>
      <c r="J25">
        <v>17</v>
      </c>
      <c r="K25" s="30">
        <v>4178.1404406329739</v>
      </c>
      <c r="L25" s="30">
        <v>2759.2874099827341</v>
      </c>
      <c r="M25" s="30">
        <v>3171.2696146138414</v>
      </c>
      <c r="N25" s="30">
        <v>-1096.8052435944855</v>
      </c>
      <c r="O25" s="30">
        <v>2833.7550859855419</v>
      </c>
      <c r="P25" s="30">
        <v>-1960.7341900274723</v>
      </c>
      <c r="R25">
        <v>17</v>
      </c>
      <c r="S25" s="30">
        <v>223.52848187504861</v>
      </c>
      <c r="T25" s="30">
        <v>271.59957276203784</v>
      </c>
      <c r="U25" s="30">
        <v>157.33358271552197</v>
      </c>
      <c r="V25" s="30">
        <v>0</v>
      </c>
      <c r="W25" s="30">
        <v>0</v>
      </c>
      <c r="X25" s="30">
        <v>0</v>
      </c>
    </row>
    <row r="26" spans="2:24" x14ac:dyDescent="0.25">
      <c r="B26" t="s">
        <v>57</v>
      </c>
      <c r="C26">
        <f ca="1">_xlfn.BINOM.INV(C25,C16,RAND())</f>
        <v>351</v>
      </c>
      <c r="J26">
        <v>18</v>
      </c>
      <c r="K26" s="30">
        <v>2000.1127339420614</v>
      </c>
      <c r="L26" s="30">
        <v>3186.0451795830331</v>
      </c>
      <c r="M26" s="30">
        <v>1651.1103439645503</v>
      </c>
      <c r="N26" s="30">
        <v>656.30981589407475</v>
      </c>
      <c r="O26" s="30">
        <v>-357.58555352638359</v>
      </c>
      <c r="P26" s="30">
        <v>1858.2130889842874</v>
      </c>
      <c r="R26">
        <v>18</v>
      </c>
      <c r="S26" s="30">
        <v>295.69874007578602</v>
      </c>
      <c r="T26" s="30">
        <v>306.20914144460022</v>
      </c>
      <c r="U26" s="30">
        <v>119.36892288028753</v>
      </c>
      <c r="V26" s="30">
        <v>0</v>
      </c>
      <c r="W26" s="30">
        <v>0</v>
      </c>
      <c r="X26" s="30">
        <v>0</v>
      </c>
    </row>
    <row r="27" spans="2:24" x14ac:dyDescent="0.25">
      <c r="J27">
        <v>19</v>
      </c>
      <c r="K27" s="30">
        <v>2452.6223769532221</v>
      </c>
      <c r="L27" s="30">
        <v>2803.165726401709</v>
      </c>
      <c r="M27" s="30">
        <v>1917.8685986813557</v>
      </c>
      <c r="N27" s="30">
        <v>-1741.3792331824734</v>
      </c>
      <c r="O27" s="30">
        <v>2500.930963163114</v>
      </c>
      <c r="P27" s="30">
        <v>-1818.0272608842752</v>
      </c>
      <c r="R27">
        <v>19</v>
      </c>
      <c r="S27" s="30">
        <v>264.5642294514073</v>
      </c>
      <c r="T27" s="30">
        <v>394.91232326118995</v>
      </c>
      <c r="U27" s="30">
        <v>141.75955754934074</v>
      </c>
      <c r="V27" s="30">
        <v>12.891761255714584</v>
      </c>
      <c r="W27" s="30">
        <v>0</v>
      </c>
      <c r="X27" s="30">
        <v>0</v>
      </c>
    </row>
    <row r="28" spans="2:24" ht="18.75" x14ac:dyDescent="0.3">
      <c r="B28" s="40" t="s">
        <v>52</v>
      </c>
      <c r="C28" s="42"/>
      <c r="J28">
        <v>20</v>
      </c>
      <c r="K28" s="30">
        <v>3916.8309643734387</v>
      </c>
      <c r="L28" s="30">
        <v>3394.8208197272529</v>
      </c>
      <c r="M28" s="30">
        <v>3553.0874149605779</v>
      </c>
      <c r="N28" s="30">
        <v>-1513.1764052779099</v>
      </c>
      <c r="O28" s="30">
        <v>508.26297411370069</v>
      </c>
      <c r="P28" s="30">
        <v>1081.1668976627925</v>
      </c>
      <c r="R28">
        <v>20</v>
      </c>
      <c r="S28" s="30">
        <v>189.03923037157045</v>
      </c>
      <c r="T28" s="30">
        <v>245.16530260658169</v>
      </c>
      <c r="U28" s="30">
        <v>246.64878426051285</v>
      </c>
      <c r="V28" s="30">
        <v>35.14832105363962</v>
      </c>
      <c r="W28" s="30">
        <v>0</v>
      </c>
      <c r="X28" s="30">
        <v>0</v>
      </c>
    </row>
    <row r="29" spans="2:24" x14ac:dyDescent="0.25">
      <c r="B29" t="s">
        <v>16</v>
      </c>
      <c r="C29" s="7">
        <f ca="1">C8</f>
        <v>363.33947627269362</v>
      </c>
      <c r="J29">
        <v>21</v>
      </c>
      <c r="K29" s="30">
        <v>2728.8567584366879</v>
      </c>
      <c r="L29" s="30">
        <v>2728.8485249831883</v>
      </c>
      <c r="M29" s="30">
        <v>2767.7346104220451</v>
      </c>
      <c r="N29" s="30">
        <v>-739.3008198296875</v>
      </c>
      <c r="O29" s="30">
        <v>3431.0249041648594</v>
      </c>
      <c r="P29" s="30">
        <v>436.91993900300349</v>
      </c>
      <c r="R29">
        <v>21</v>
      </c>
      <c r="S29" s="30">
        <v>243.21737621439536</v>
      </c>
      <c r="T29" s="30">
        <v>201.89303784753361</v>
      </c>
      <c r="U29" s="30">
        <v>140.79855370385832</v>
      </c>
      <c r="V29" s="30">
        <v>0</v>
      </c>
      <c r="W29" s="30">
        <v>0</v>
      </c>
      <c r="X29" s="30">
        <v>0</v>
      </c>
    </row>
    <row r="30" spans="2:24" x14ac:dyDescent="0.25">
      <c r="B30" t="s">
        <v>15</v>
      </c>
      <c r="C30">
        <f ca="1">C26</f>
        <v>351</v>
      </c>
      <c r="J30">
        <v>22</v>
      </c>
      <c r="K30" s="30">
        <v>2592.3389499197083</v>
      </c>
      <c r="L30" s="30">
        <v>4028.7702380754026</v>
      </c>
      <c r="M30" s="30">
        <v>2664.4237970891481</v>
      </c>
      <c r="N30" s="30">
        <v>-24.444487799646595</v>
      </c>
      <c r="O30" s="30">
        <v>359.87195897287984</v>
      </c>
      <c r="P30" s="30">
        <v>2449.7477100342521</v>
      </c>
      <c r="R30">
        <v>22</v>
      </c>
      <c r="S30" s="30">
        <v>240.47373815148865</v>
      </c>
      <c r="T30" s="30">
        <v>223.8240460761362</v>
      </c>
      <c r="U30" s="30">
        <v>98.753555953317971</v>
      </c>
      <c r="V30" s="30">
        <v>3.3606778347420914</v>
      </c>
      <c r="W30" s="30">
        <v>19.618048088267415</v>
      </c>
      <c r="X30" s="30">
        <v>0</v>
      </c>
    </row>
    <row r="31" spans="2:24" x14ac:dyDescent="0.25">
      <c r="B31" s="1" t="s">
        <v>14</v>
      </c>
      <c r="C31" s="7">
        <f ca="1">(C29-C30)+F42</f>
        <v>12.339476272693616</v>
      </c>
      <c r="J31">
        <v>23</v>
      </c>
      <c r="K31" s="30">
        <v>3586.6120392283874</v>
      </c>
      <c r="L31" s="30">
        <v>4453.6558487873044</v>
      </c>
      <c r="M31" s="30">
        <v>2462.7748146440758</v>
      </c>
      <c r="N31" s="30">
        <v>3959.352103211967</v>
      </c>
      <c r="O31" s="30">
        <v>2268.5109513557509</v>
      </c>
      <c r="P31" s="30">
        <v>182.89579380262876</v>
      </c>
      <c r="R31">
        <v>23</v>
      </c>
      <c r="S31" s="30">
        <v>291.25222261125066</v>
      </c>
      <c r="T31" s="30">
        <v>312.80288836324428</v>
      </c>
      <c r="U31" s="30">
        <v>150.34418843379871</v>
      </c>
      <c r="V31" s="30">
        <v>0</v>
      </c>
      <c r="W31" s="30">
        <v>0</v>
      </c>
      <c r="X31" s="30">
        <v>0</v>
      </c>
    </row>
    <row r="32" spans="2:24" x14ac:dyDescent="0.25">
      <c r="J32">
        <v>24</v>
      </c>
      <c r="K32" s="30">
        <v>2337.4216745801359</v>
      </c>
      <c r="L32" s="30">
        <v>2477.3511405780664</v>
      </c>
      <c r="M32" s="30">
        <v>1861.7389509397667</v>
      </c>
      <c r="N32" s="30">
        <v>-465.45756777093084</v>
      </c>
      <c r="O32" s="30">
        <v>-1212.3774160504872</v>
      </c>
      <c r="P32" s="30">
        <v>-991.16176237945092</v>
      </c>
      <c r="R32">
        <v>24</v>
      </c>
      <c r="S32" s="30">
        <v>240.78664152680977</v>
      </c>
      <c r="T32" s="30">
        <v>335.94710646522151</v>
      </c>
      <c r="U32" s="30">
        <v>192.84537351452565</v>
      </c>
      <c r="V32" s="30">
        <v>0</v>
      </c>
      <c r="W32" s="30">
        <v>0</v>
      </c>
      <c r="X32" s="30">
        <v>0</v>
      </c>
    </row>
    <row r="33" spans="2:24" x14ac:dyDescent="0.25">
      <c r="J33">
        <v>25</v>
      </c>
      <c r="K33" s="30">
        <v>2960.3413292377372</v>
      </c>
      <c r="L33" s="30">
        <v>3191.5098951545569</v>
      </c>
      <c r="M33" s="30">
        <v>1589.4547491336612</v>
      </c>
      <c r="N33" s="30">
        <v>1086.6309666890029</v>
      </c>
      <c r="O33" s="30">
        <v>-206.37462228046115</v>
      </c>
      <c r="P33" s="30">
        <v>-2078.1286781656172</v>
      </c>
      <c r="R33">
        <v>25</v>
      </c>
      <c r="S33" s="30">
        <v>151.86989001183451</v>
      </c>
      <c r="T33" s="30">
        <v>290.18508601832184</v>
      </c>
      <c r="U33" s="30">
        <v>59.724758030621047</v>
      </c>
      <c r="V33" s="30">
        <v>0</v>
      </c>
      <c r="W33" s="30">
        <v>0</v>
      </c>
      <c r="X33" s="30">
        <v>0</v>
      </c>
    </row>
    <row r="34" spans="2:24" ht="18.75" x14ac:dyDescent="0.3">
      <c r="B34" s="40" t="s">
        <v>26</v>
      </c>
      <c r="C34" s="40"/>
      <c r="J34">
        <v>26</v>
      </c>
      <c r="K34" s="30">
        <v>2942.4030237616503</v>
      </c>
      <c r="L34" s="30">
        <v>2749.9070300611652</v>
      </c>
      <c r="M34" s="30">
        <v>1610.5054416736675</v>
      </c>
      <c r="N34" s="30">
        <v>1338.1199698985301</v>
      </c>
      <c r="O34" s="30">
        <v>1754.8544070268354</v>
      </c>
      <c r="P34" s="30">
        <v>-625.88993018695965</v>
      </c>
      <c r="R34">
        <v>26</v>
      </c>
      <c r="S34" s="30">
        <v>255.59079583062157</v>
      </c>
      <c r="T34" s="30">
        <v>304.62841949797456</v>
      </c>
      <c r="U34" s="30">
        <v>97.290820397602033</v>
      </c>
      <c r="V34" s="30">
        <v>0</v>
      </c>
      <c r="W34" s="30">
        <v>63.64988579706403</v>
      </c>
      <c r="X34" s="30">
        <v>0</v>
      </c>
    </row>
    <row r="35" spans="2:24" x14ac:dyDescent="0.25">
      <c r="B35" t="s">
        <v>27</v>
      </c>
      <c r="C35">
        <v>12.95</v>
      </c>
      <c r="E35" t="s">
        <v>30</v>
      </c>
      <c r="F35" s="12" t="str">
        <f ca="1">VLOOKUP(RAND(),'Demand Tables'!C19:D21,2,TRUE)</f>
        <v>December</v>
      </c>
      <c r="J35">
        <v>27</v>
      </c>
      <c r="K35" s="30">
        <v>2680.9961874542669</v>
      </c>
      <c r="L35" s="30">
        <v>2851.8333721875524</v>
      </c>
      <c r="M35" s="30">
        <v>3016.5182263546872</v>
      </c>
      <c r="N35" s="30">
        <v>2762.2161653060748</v>
      </c>
      <c r="O35" s="30">
        <v>953.5439878916568</v>
      </c>
      <c r="P35" s="30">
        <v>-266.10773451689056</v>
      </c>
      <c r="R35">
        <v>27</v>
      </c>
      <c r="S35" s="30">
        <v>175.67029849345369</v>
      </c>
      <c r="T35" s="30">
        <v>255.5175781650052</v>
      </c>
      <c r="U35" s="30">
        <v>203.7132670978724</v>
      </c>
      <c r="V35" s="30">
        <v>104.89246938833514</v>
      </c>
      <c r="W35" s="30">
        <v>0</v>
      </c>
      <c r="X35" s="30">
        <v>0</v>
      </c>
    </row>
    <row r="36" spans="2:24" x14ac:dyDescent="0.25">
      <c r="B36" t="s">
        <v>29</v>
      </c>
      <c r="C36">
        <v>14.95</v>
      </c>
      <c r="E36" t="s">
        <v>44</v>
      </c>
      <c r="F36">
        <f ca="1">IF(OR(F35='Demand Tables'!D19,F35='Demand Tables'!D20),VLOOKUP(RAND(),'Demand Tables'!C3:E8,2,TRUE),VLOOKUP(RAND(),'Demand Tables'!C11:E16,2,TRUE))</f>
        <v>40</v>
      </c>
      <c r="J36">
        <v>28</v>
      </c>
      <c r="K36" s="30">
        <v>2811.9378719482015</v>
      </c>
      <c r="L36" s="30">
        <v>2485.5750908086693</v>
      </c>
      <c r="M36" s="30">
        <v>1880.1928852948895</v>
      </c>
      <c r="N36" s="30">
        <v>449.63794877255532</v>
      </c>
      <c r="O36" s="30">
        <v>1470.6080567295721</v>
      </c>
      <c r="P36" s="30">
        <v>742.58020514370855</v>
      </c>
      <c r="R36">
        <v>28</v>
      </c>
      <c r="S36" s="30">
        <v>250.48148414338431</v>
      </c>
      <c r="T36" s="30">
        <v>424.61664206124954</v>
      </c>
      <c r="U36" s="30">
        <v>127.5090478556811</v>
      </c>
      <c r="V36" s="30">
        <v>0</v>
      </c>
      <c r="W36" s="30">
        <v>0</v>
      </c>
      <c r="X36" s="30">
        <v>0</v>
      </c>
    </row>
    <row r="37" spans="2:24" x14ac:dyDescent="0.25">
      <c r="J37">
        <v>29</v>
      </c>
      <c r="K37" s="30">
        <v>1587.8105388012809</v>
      </c>
      <c r="L37" s="30">
        <v>3843.2973852326331</v>
      </c>
      <c r="M37" s="30">
        <v>2819.4801678620029</v>
      </c>
      <c r="N37" s="30">
        <v>-78.328987842425704</v>
      </c>
      <c r="O37" s="30">
        <v>-726.52192315613502</v>
      </c>
      <c r="P37" s="30">
        <v>-505.78044490291995</v>
      </c>
      <c r="R37">
        <v>29</v>
      </c>
      <c r="S37" s="30">
        <v>342.503340001982</v>
      </c>
      <c r="T37" s="30">
        <v>327.45682599585945</v>
      </c>
      <c r="U37" s="30">
        <v>115.61839480350733</v>
      </c>
      <c r="V37" s="30">
        <v>0</v>
      </c>
      <c r="W37" s="30">
        <v>126.27190139160109</v>
      </c>
      <c r="X37" s="30">
        <v>0</v>
      </c>
    </row>
    <row r="38" spans="2:24" x14ac:dyDescent="0.25">
      <c r="B38" t="s">
        <v>41</v>
      </c>
      <c r="C38" s="13">
        <f ca="1">C25*(C35*C14)</f>
        <v>4545.45</v>
      </c>
      <c r="E38" t="s">
        <v>40</v>
      </c>
      <c r="F38" s="17">
        <f ca="1">IF((C26+F36)-C9&lt;0,0,(C26+F36)-C9)</f>
        <v>93.061629456391188</v>
      </c>
      <c r="J38">
        <v>30</v>
      </c>
      <c r="K38" s="30">
        <v>3732.7312032456302</v>
      </c>
      <c r="L38" s="30">
        <v>4470.8310406352821</v>
      </c>
      <c r="M38" s="30">
        <v>3754.9286438923637</v>
      </c>
      <c r="N38" s="30">
        <v>-933.65316841687218</v>
      </c>
      <c r="O38" s="30">
        <v>908.50639449380924</v>
      </c>
      <c r="P38" s="30">
        <v>-48.54478566601756</v>
      </c>
      <c r="R38">
        <v>30</v>
      </c>
      <c r="S38" s="30">
        <v>378.31894689417652</v>
      </c>
      <c r="T38" s="30">
        <v>405.00390248584966</v>
      </c>
      <c r="U38" s="30">
        <v>293.32797234955262</v>
      </c>
      <c r="V38" s="30">
        <v>0</v>
      </c>
      <c r="W38" s="30">
        <v>17.509724597723221</v>
      </c>
      <c r="X38" s="30">
        <v>0</v>
      </c>
    </row>
    <row r="39" spans="2:24" x14ac:dyDescent="0.25">
      <c r="B39" t="s">
        <v>42</v>
      </c>
      <c r="C39" s="10">
        <f ca="1">MIN(C26,C29)*(C35*(1-C14))</f>
        <v>0</v>
      </c>
      <c r="J39">
        <v>31</v>
      </c>
      <c r="K39" s="30">
        <v>2890.264392391417</v>
      </c>
      <c r="L39" s="30">
        <v>2534.0671750498486</v>
      </c>
      <c r="M39" s="30">
        <v>2656.6251269445211</v>
      </c>
      <c r="N39" s="30">
        <v>355.99316743545114</v>
      </c>
      <c r="O39" s="30">
        <v>1276.9089695001012</v>
      </c>
      <c r="P39" s="30">
        <v>-421.24599567810037</v>
      </c>
      <c r="R39">
        <v>31</v>
      </c>
      <c r="S39" s="30">
        <v>248.05486798584081</v>
      </c>
      <c r="T39" s="30">
        <v>266.98022959305058</v>
      </c>
      <c r="U39" s="30">
        <v>70.916145699930325</v>
      </c>
      <c r="V39" s="30">
        <v>0</v>
      </c>
      <c r="W39" s="30">
        <v>0</v>
      </c>
      <c r="X39" s="30">
        <v>0</v>
      </c>
    </row>
    <row r="40" spans="2:24" x14ac:dyDescent="0.25">
      <c r="B40" t="s">
        <v>37</v>
      </c>
      <c r="C40" s="13">
        <f ca="1">F41</f>
        <v>0</v>
      </c>
      <c r="J40">
        <v>32</v>
      </c>
      <c r="K40" s="30">
        <v>2619.0611527592982</v>
      </c>
      <c r="L40" s="30">
        <v>2286.4180940072961</v>
      </c>
      <c r="M40" s="30">
        <v>3671.9057310303501</v>
      </c>
      <c r="N40" s="30">
        <v>80.111381253404033</v>
      </c>
      <c r="O40" s="30">
        <v>452.60043195523212</v>
      </c>
      <c r="P40" s="30">
        <v>-687.6044799062347</v>
      </c>
      <c r="R40">
        <v>32</v>
      </c>
      <c r="S40" s="30">
        <v>244.60060944435344</v>
      </c>
      <c r="T40" s="30">
        <v>238.31055584570271</v>
      </c>
      <c r="U40" s="30">
        <v>234.15809349225935</v>
      </c>
      <c r="V40" s="30">
        <v>0</v>
      </c>
      <c r="W40" s="30">
        <v>0</v>
      </c>
      <c r="X40" s="30">
        <v>0</v>
      </c>
    </row>
    <row r="41" spans="2:24" x14ac:dyDescent="0.25">
      <c r="B41" t="s">
        <v>28</v>
      </c>
      <c r="C41" s="13">
        <f ca="1">C38+C39-C40</f>
        <v>4545.45</v>
      </c>
      <c r="E41" t="s">
        <v>37</v>
      </c>
      <c r="F41" s="10">
        <f ca="1">IF(C26&gt;C29,(C26-C29)*(C14*C35),0)</f>
        <v>0</v>
      </c>
      <c r="J41">
        <v>33</v>
      </c>
      <c r="K41" s="30">
        <v>3382.3939436189758</v>
      </c>
      <c r="L41" s="30">
        <v>2576.6818369480548</v>
      </c>
      <c r="M41" s="30">
        <v>2215.6164113069949</v>
      </c>
      <c r="N41" s="30">
        <v>36.89350009181544</v>
      </c>
      <c r="O41" s="30">
        <v>2514.0315439292908</v>
      </c>
      <c r="P41" s="30">
        <v>233.67873442593827</v>
      </c>
      <c r="R41">
        <v>33</v>
      </c>
      <c r="S41" s="30">
        <v>230.19368932074894</v>
      </c>
      <c r="T41" s="30">
        <v>394.22960788327191</v>
      </c>
      <c r="U41" s="30">
        <v>248.03599473279309</v>
      </c>
      <c r="V41" s="30">
        <v>0</v>
      </c>
      <c r="W41" s="30">
        <v>69.551445549514369</v>
      </c>
      <c r="X41" s="30">
        <v>0</v>
      </c>
    </row>
    <row r="42" spans="2:24" x14ac:dyDescent="0.25">
      <c r="E42" t="s">
        <v>39</v>
      </c>
      <c r="F42" s="16">
        <f ca="1">(C25-C26)</f>
        <v>0</v>
      </c>
      <c r="J42">
        <v>34</v>
      </c>
      <c r="K42" s="30">
        <v>2794.1111476112283</v>
      </c>
      <c r="L42" s="30">
        <v>2707.2252546819705</v>
      </c>
      <c r="M42" s="30">
        <v>2697.5286248822185</v>
      </c>
      <c r="N42" s="30">
        <v>1367.6292930194313</v>
      </c>
      <c r="O42" s="30">
        <v>1596.4860631073288</v>
      </c>
      <c r="P42" s="30">
        <v>-1579.749391123617</v>
      </c>
      <c r="R42">
        <v>34</v>
      </c>
      <c r="S42" s="30">
        <v>187.10602094411217</v>
      </c>
      <c r="T42" s="30">
        <v>256.61602939549675</v>
      </c>
      <c r="U42" s="30">
        <v>186.83864797104889</v>
      </c>
      <c r="V42" s="30">
        <v>0</v>
      </c>
      <c r="W42" s="30">
        <v>140.75440113462253</v>
      </c>
      <c r="X42" s="30">
        <v>0</v>
      </c>
    </row>
    <row r="43" spans="2:24" x14ac:dyDescent="0.25">
      <c r="B43" t="s">
        <v>43</v>
      </c>
      <c r="C43" s="13">
        <f ca="1">F36*C36</f>
        <v>598</v>
      </c>
      <c r="E43" t="s">
        <v>38</v>
      </c>
      <c r="F43" s="13">
        <f ca="1">F42*(C14*C35)</f>
        <v>0</v>
      </c>
      <c r="J43">
        <v>35</v>
      </c>
      <c r="K43" s="30">
        <v>2798.5959579044579</v>
      </c>
      <c r="L43" s="30">
        <v>2814.7970227376672</v>
      </c>
      <c r="M43" s="30">
        <v>3032.8198307743742</v>
      </c>
      <c r="N43" s="30">
        <v>-608.99587732026521</v>
      </c>
      <c r="O43" s="30">
        <v>671.76399706380198</v>
      </c>
      <c r="P43" s="30">
        <v>-426.8982451226384</v>
      </c>
      <c r="R43">
        <v>35</v>
      </c>
      <c r="S43" s="30">
        <v>230.31356407374165</v>
      </c>
      <c r="T43" s="30">
        <v>262.29174408137578</v>
      </c>
      <c r="U43" s="30">
        <v>194.28611043742524</v>
      </c>
      <c r="V43" s="30">
        <v>0</v>
      </c>
      <c r="W43" s="30">
        <v>0</v>
      </c>
      <c r="X43" s="30">
        <v>0</v>
      </c>
    </row>
    <row r="44" spans="2:24" x14ac:dyDescent="0.25">
      <c r="B44" s="1" t="s">
        <v>34</v>
      </c>
      <c r="C44" s="14">
        <f ca="1">C41+C43</f>
        <v>5143.45</v>
      </c>
      <c r="J44">
        <v>36</v>
      </c>
      <c r="K44" s="30">
        <v>3093.0845688436939</v>
      </c>
      <c r="L44" s="30">
        <v>2672.2789970819572</v>
      </c>
      <c r="M44" s="30">
        <v>4005.325216291274</v>
      </c>
      <c r="N44" s="30">
        <v>379.06090335063982</v>
      </c>
      <c r="O44" s="30">
        <v>4244.9346344798332</v>
      </c>
      <c r="P44" s="30">
        <v>-143.17286650926144</v>
      </c>
      <c r="R44">
        <v>36</v>
      </c>
      <c r="S44" s="30">
        <v>173.0633553693491</v>
      </c>
      <c r="T44" s="30">
        <v>200.16670423822075</v>
      </c>
      <c r="U44" s="30">
        <v>247.58305257644949</v>
      </c>
      <c r="V44" s="30">
        <v>0</v>
      </c>
      <c r="W44" s="30">
        <v>0</v>
      </c>
      <c r="X44" s="30">
        <v>0</v>
      </c>
    </row>
    <row r="45" spans="2:24" x14ac:dyDescent="0.25">
      <c r="B45" t="s">
        <v>35</v>
      </c>
      <c r="C45" s="13">
        <f ca="1">C19</f>
        <v>3270.0552864542424</v>
      </c>
      <c r="J45">
        <v>37</v>
      </c>
      <c r="K45" s="30">
        <v>2517.9370394617422</v>
      </c>
      <c r="L45" s="30">
        <v>2875.1483986670291</v>
      </c>
      <c r="M45" s="30">
        <v>3173.1000347520735</v>
      </c>
      <c r="N45" s="30">
        <v>525.69957345405601</v>
      </c>
      <c r="O45" s="30">
        <v>2670.7563775439567</v>
      </c>
      <c r="P45" s="30">
        <v>2128.837703911443</v>
      </c>
      <c r="R45">
        <v>37</v>
      </c>
      <c r="S45" s="30">
        <v>274.27609700704744</v>
      </c>
      <c r="T45" s="30">
        <v>298.32981390288188</v>
      </c>
      <c r="U45" s="30">
        <v>140.31162382497928</v>
      </c>
      <c r="V45" s="30">
        <v>0</v>
      </c>
      <c r="W45" s="30">
        <v>0</v>
      </c>
      <c r="X45" s="30">
        <v>0</v>
      </c>
    </row>
    <row r="46" spans="2:24" x14ac:dyDescent="0.25">
      <c r="B46" t="s">
        <v>36</v>
      </c>
      <c r="C46" s="15">
        <f ca="1">C44-C45</f>
        <v>1873.3947135457574</v>
      </c>
      <c r="J46">
        <v>38</v>
      </c>
      <c r="K46" s="30">
        <v>2653.5696821577576</v>
      </c>
      <c r="L46" s="30">
        <v>1948.2018143357732</v>
      </c>
      <c r="M46" s="30">
        <v>3077.499621118403</v>
      </c>
      <c r="N46" s="30">
        <v>483.55046606524138</v>
      </c>
      <c r="O46" s="30">
        <v>1978.1405064941318</v>
      </c>
      <c r="P46" s="30">
        <v>-1107.9959515326027</v>
      </c>
      <c r="R46">
        <v>38</v>
      </c>
      <c r="S46" s="30">
        <v>189.04071942948707</v>
      </c>
      <c r="T46" s="30">
        <v>369.12262227406291</v>
      </c>
      <c r="U46" s="30">
        <v>142.51821723045413</v>
      </c>
      <c r="V46" s="30">
        <v>17.509735635624338</v>
      </c>
      <c r="W46" s="30">
        <v>0</v>
      </c>
      <c r="X46" s="30">
        <v>0</v>
      </c>
    </row>
    <row r="47" spans="2:24" x14ac:dyDescent="0.25">
      <c r="J47">
        <v>39</v>
      </c>
      <c r="K47" s="30">
        <v>2633.161072812728</v>
      </c>
      <c r="L47" s="30">
        <v>2903.4345138082672</v>
      </c>
      <c r="M47" s="30">
        <v>2224.091995569644</v>
      </c>
      <c r="N47" s="30">
        <v>-109.72697326817524</v>
      </c>
      <c r="O47" s="30">
        <v>2130.0046484725735</v>
      </c>
      <c r="P47" s="30">
        <v>-949.4265547639634</v>
      </c>
      <c r="R47">
        <v>39</v>
      </c>
      <c r="S47" s="30">
        <v>191.76599860537914</v>
      </c>
      <c r="T47" s="30">
        <v>301.85002459043085</v>
      </c>
      <c r="U47" s="30">
        <v>164.94443433642471</v>
      </c>
      <c r="V47" s="30">
        <v>0</v>
      </c>
      <c r="W47" s="30">
        <v>0</v>
      </c>
      <c r="X47" s="30">
        <v>0</v>
      </c>
    </row>
    <row r="48" spans="2:24" x14ac:dyDescent="0.25">
      <c r="J48">
        <v>40</v>
      </c>
      <c r="K48" s="30">
        <v>2717.3943302657717</v>
      </c>
      <c r="L48" s="30">
        <v>2829.5108058499227</v>
      </c>
      <c r="M48" s="30">
        <v>1790.4250868156992</v>
      </c>
      <c r="N48" s="30">
        <v>-379.89196690934477</v>
      </c>
      <c r="O48" s="30">
        <v>-490.08940143808195</v>
      </c>
      <c r="P48" s="30">
        <v>-822.60225251527572</v>
      </c>
      <c r="R48">
        <v>40</v>
      </c>
      <c r="S48" s="30">
        <v>207.27613284444288</v>
      </c>
      <c r="T48" s="30">
        <v>242.59819854536369</v>
      </c>
      <c r="U48" s="30">
        <v>248.58417793800385</v>
      </c>
      <c r="V48" s="30">
        <v>76.414184646802084</v>
      </c>
      <c r="W48" s="30">
        <v>0</v>
      </c>
      <c r="X48" s="30">
        <v>0</v>
      </c>
    </row>
    <row r="49" spans="10:24" x14ac:dyDescent="0.25">
      <c r="J49">
        <v>41</v>
      </c>
      <c r="K49" s="30">
        <v>4157.4515386951716</v>
      </c>
      <c r="L49" s="30">
        <v>2817.8655739448127</v>
      </c>
      <c r="M49" s="30">
        <v>2310.1415881478433</v>
      </c>
      <c r="N49" s="30">
        <v>2058.042650938507</v>
      </c>
      <c r="O49" s="30">
        <v>835.9223652201872</v>
      </c>
      <c r="P49" s="30">
        <v>-991.27619181959835</v>
      </c>
      <c r="R49">
        <v>41</v>
      </c>
      <c r="S49" s="30">
        <v>388.08207166832256</v>
      </c>
      <c r="T49" s="30">
        <v>301.66091353893933</v>
      </c>
      <c r="U49" s="30">
        <v>292.12362515537257</v>
      </c>
      <c r="V49" s="30">
        <v>0</v>
      </c>
      <c r="W49" s="30">
        <v>0</v>
      </c>
      <c r="X49" s="30">
        <v>0</v>
      </c>
    </row>
    <row r="50" spans="10:24" x14ac:dyDescent="0.25">
      <c r="J50">
        <v>42</v>
      </c>
      <c r="K50" s="30">
        <v>3687.7615647467205</v>
      </c>
      <c r="L50" s="30">
        <v>2783.8194425502838</v>
      </c>
      <c r="M50" s="30">
        <v>2762.6943543281554</v>
      </c>
      <c r="N50" s="30">
        <v>19.063439263426517</v>
      </c>
      <c r="O50" s="30">
        <v>-548.58431851669411</v>
      </c>
      <c r="P50" s="30">
        <v>6.5423790239437949</v>
      </c>
      <c r="R50">
        <v>42</v>
      </c>
      <c r="S50" s="30">
        <v>230.72014075152316</v>
      </c>
      <c r="T50" s="30">
        <v>386.83732979357433</v>
      </c>
      <c r="U50" s="30">
        <v>154.61021255179418</v>
      </c>
      <c r="V50" s="30">
        <v>0</v>
      </c>
      <c r="W50" s="30">
        <v>0</v>
      </c>
      <c r="X50" s="30">
        <v>0</v>
      </c>
    </row>
    <row r="51" spans="10:24" x14ac:dyDescent="0.25">
      <c r="J51">
        <v>43</v>
      </c>
      <c r="K51" s="30">
        <v>2716.7235665205717</v>
      </c>
      <c r="L51" s="30">
        <v>3331.1878601011304</v>
      </c>
      <c r="M51" s="30">
        <v>3340.9868647008707</v>
      </c>
      <c r="N51" s="30">
        <v>2806.1464869079127</v>
      </c>
      <c r="O51" s="30">
        <v>2995.3717128728549</v>
      </c>
      <c r="P51" s="30">
        <v>-1518.632671260465</v>
      </c>
      <c r="R51">
        <v>43</v>
      </c>
      <c r="S51" s="30">
        <v>252.755088163175</v>
      </c>
      <c r="T51" s="30">
        <v>234.20946030394202</v>
      </c>
      <c r="U51" s="30">
        <v>196.02422031896771</v>
      </c>
      <c r="V51" s="30">
        <v>0</v>
      </c>
      <c r="W51" s="30">
        <v>64.517149143057395</v>
      </c>
      <c r="X51" s="30">
        <v>0</v>
      </c>
    </row>
    <row r="52" spans="10:24" x14ac:dyDescent="0.25">
      <c r="J52">
        <v>44</v>
      </c>
      <c r="K52" s="30">
        <v>2053.9928995851465</v>
      </c>
      <c r="L52" s="30">
        <v>3465.8234558373047</v>
      </c>
      <c r="M52" s="30">
        <v>1959.652364621822</v>
      </c>
      <c r="N52" s="30">
        <v>-773.61212753479231</v>
      </c>
      <c r="O52" s="30">
        <v>3050.5596696809853</v>
      </c>
      <c r="P52" s="30">
        <v>-974.85140223802136</v>
      </c>
      <c r="R52">
        <v>44</v>
      </c>
      <c r="S52" s="30">
        <v>309.64894234466311</v>
      </c>
      <c r="T52" s="30">
        <v>307.64396113775274</v>
      </c>
      <c r="U52" s="30">
        <v>130.61333114038939</v>
      </c>
      <c r="V52" s="30">
        <v>0</v>
      </c>
      <c r="W52" s="30">
        <v>0</v>
      </c>
      <c r="X52" s="30">
        <v>0</v>
      </c>
    </row>
    <row r="53" spans="10:24" x14ac:dyDescent="0.25">
      <c r="J53">
        <v>45</v>
      </c>
      <c r="K53" s="30">
        <v>3983.4208710057837</v>
      </c>
      <c r="L53" s="30">
        <v>3545.2516292070491</v>
      </c>
      <c r="M53" s="30">
        <v>1834.7372614170004</v>
      </c>
      <c r="N53" s="30">
        <v>346.03333318977457</v>
      </c>
      <c r="O53" s="30">
        <v>2343.9692470815626</v>
      </c>
      <c r="P53" s="30">
        <v>191.89778069190834</v>
      </c>
      <c r="R53">
        <v>45</v>
      </c>
      <c r="S53" s="30">
        <v>262.24336213916575</v>
      </c>
      <c r="T53" s="30">
        <v>387.77978669509258</v>
      </c>
      <c r="U53" s="30">
        <v>207.71924342181336</v>
      </c>
      <c r="V53" s="30">
        <v>0</v>
      </c>
      <c r="W53" s="30">
        <v>92.413204861905115</v>
      </c>
      <c r="X53" s="30">
        <v>0</v>
      </c>
    </row>
    <row r="54" spans="10:24" x14ac:dyDescent="0.25">
      <c r="J54">
        <v>46</v>
      </c>
      <c r="K54" s="30">
        <v>3856.637599787734</v>
      </c>
      <c r="L54" s="30">
        <v>3087.4528096567342</v>
      </c>
      <c r="M54" s="30">
        <v>2596.2780356897724</v>
      </c>
      <c r="N54" s="30">
        <v>2530.3809807080615</v>
      </c>
      <c r="O54" s="30">
        <v>1563.8086879624134</v>
      </c>
      <c r="P54" s="30">
        <v>-322.7372511816684</v>
      </c>
      <c r="R54">
        <v>46</v>
      </c>
      <c r="S54" s="30">
        <v>321.22127476148307</v>
      </c>
      <c r="T54" s="30">
        <v>269.17566309605036</v>
      </c>
      <c r="U54" s="30">
        <v>104.57934794386404</v>
      </c>
      <c r="V54" s="30">
        <v>0</v>
      </c>
      <c r="W54" s="30">
        <v>0</v>
      </c>
      <c r="X54" s="30">
        <v>0</v>
      </c>
    </row>
    <row r="55" spans="10:24" x14ac:dyDescent="0.25">
      <c r="J55">
        <v>47</v>
      </c>
      <c r="K55" s="30">
        <v>2193.454465089585</v>
      </c>
      <c r="L55" s="30">
        <v>2455.3253623804117</v>
      </c>
      <c r="M55" s="30">
        <v>2675.0918170702462</v>
      </c>
      <c r="N55" s="30">
        <v>888.41759348653977</v>
      </c>
      <c r="O55" s="30">
        <v>1881.8484727558689</v>
      </c>
      <c r="P55" s="30">
        <v>-498.99256448185679</v>
      </c>
      <c r="R55">
        <v>47</v>
      </c>
      <c r="S55" s="30">
        <v>229.46527931880263</v>
      </c>
      <c r="T55" s="30">
        <v>329.99352204794468</v>
      </c>
      <c r="U55" s="30">
        <v>123.9323629655068</v>
      </c>
      <c r="V55" s="30">
        <v>0</v>
      </c>
      <c r="W55" s="30">
        <v>0</v>
      </c>
      <c r="X55" s="30">
        <v>0</v>
      </c>
    </row>
    <row r="56" spans="10:24" x14ac:dyDescent="0.25">
      <c r="J56">
        <v>48</v>
      </c>
      <c r="K56" s="30">
        <v>4232.8773562877432</v>
      </c>
      <c r="L56" s="30">
        <v>3367.2587834678025</v>
      </c>
      <c r="M56" s="30">
        <v>2829.4871240764924</v>
      </c>
      <c r="N56" s="30">
        <v>170.83325975740081</v>
      </c>
      <c r="O56" s="30">
        <v>-109.28749676783718</v>
      </c>
      <c r="P56" s="30">
        <v>-375.54052662625691</v>
      </c>
      <c r="R56">
        <v>48</v>
      </c>
      <c r="S56" s="30">
        <v>268.21088364607516</v>
      </c>
      <c r="T56" s="30">
        <v>273.18053206478794</v>
      </c>
      <c r="U56" s="30">
        <v>172.19271513517072</v>
      </c>
      <c r="V56" s="30">
        <v>54.58474245007659</v>
      </c>
      <c r="W56" s="30">
        <v>15.822818861906057</v>
      </c>
      <c r="X56" s="30">
        <v>47.407169655612108</v>
      </c>
    </row>
    <row r="57" spans="10:24" x14ac:dyDescent="0.25">
      <c r="J57">
        <v>49</v>
      </c>
      <c r="K57" s="30">
        <v>2149.1796075253446</v>
      </c>
      <c r="L57" s="30">
        <v>4165.5823747129361</v>
      </c>
      <c r="M57" s="30">
        <v>1949.5203503116113</v>
      </c>
      <c r="N57" s="30">
        <v>224.9745613627174</v>
      </c>
      <c r="O57" s="30">
        <v>723.9036389111734</v>
      </c>
      <c r="P57" s="30">
        <v>12.816604308223759</v>
      </c>
      <c r="R57">
        <v>49</v>
      </c>
      <c r="S57" s="30">
        <v>213.77426662318061</v>
      </c>
      <c r="T57" s="30">
        <v>350.72305643929064</v>
      </c>
      <c r="U57" s="30">
        <v>196.75775461992492</v>
      </c>
      <c r="V57" s="30">
        <v>0</v>
      </c>
      <c r="W57" s="30">
        <v>57.040541380932837</v>
      </c>
      <c r="X57" s="30">
        <v>0</v>
      </c>
    </row>
    <row r="58" spans="10:24" x14ac:dyDescent="0.25">
      <c r="J58">
        <v>50</v>
      </c>
      <c r="K58" s="30">
        <v>4223.8636263264543</v>
      </c>
      <c r="L58" s="30">
        <v>2646.8255838945652</v>
      </c>
      <c r="M58" s="30">
        <v>1926.4525137853661</v>
      </c>
      <c r="N58" s="30">
        <v>-309.0752300179538</v>
      </c>
      <c r="O58" s="30">
        <v>1174.8410581659464</v>
      </c>
      <c r="P58" s="30">
        <v>515.94137007140944</v>
      </c>
      <c r="R58">
        <v>50</v>
      </c>
      <c r="S58" s="30">
        <v>349.70372678099056</v>
      </c>
      <c r="T58" s="30">
        <v>208.21517586141408</v>
      </c>
      <c r="U58" s="30">
        <v>165.73600995332407</v>
      </c>
      <c r="V58" s="30">
        <v>0</v>
      </c>
      <c r="W58" s="30">
        <v>0</v>
      </c>
      <c r="X58" s="30">
        <v>0</v>
      </c>
    </row>
    <row r="59" spans="10:24" x14ac:dyDescent="0.25">
      <c r="J59">
        <v>51</v>
      </c>
      <c r="K59" s="30">
        <v>3970.3049598225248</v>
      </c>
      <c r="L59" s="30">
        <v>2876.6200531089462</v>
      </c>
      <c r="M59" s="30">
        <v>1287.8807321436525</v>
      </c>
      <c r="N59" s="30">
        <v>274.22843664874381</v>
      </c>
      <c r="O59" s="30">
        <v>2833.9398581946371</v>
      </c>
      <c r="P59" s="30">
        <v>-3576.3231137648818</v>
      </c>
      <c r="R59">
        <v>51</v>
      </c>
      <c r="S59" s="30">
        <v>247.86493240553494</v>
      </c>
      <c r="T59" s="30">
        <v>206.35597805322169</v>
      </c>
      <c r="U59" s="30">
        <v>58.980743042246786</v>
      </c>
      <c r="V59" s="30">
        <v>0</v>
      </c>
      <c r="W59" s="30">
        <v>0</v>
      </c>
      <c r="X59" s="30">
        <v>0</v>
      </c>
    </row>
    <row r="60" spans="10:24" x14ac:dyDescent="0.25">
      <c r="J60">
        <v>52</v>
      </c>
      <c r="K60" s="30">
        <v>2754.357490959665</v>
      </c>
      <c r="L60" s="30">
        <v>2218.3437505995967</v>
      </c>
      <c r="M60" s="30">
        <v>2788.6186166959851</v>
      </c>
      <c r="N60" s="30">
        <v>726.91993138159796</v>
      </c>
      <c r="O60" s="30">
        <v>769.52718231910512</v>
      </c>
      <c r="P60" s="30">
        <v>1327.2967397395878</v>
      </c>
      <c r="R60">
        <v>52</v>
      </c>
      <c r="S60" s="30">
        <v>205.19061957724284</v>
      </c>
      <c r="T60" s="30">
        <v>211.19727871628743</v>
      </c>
      <c r="U60" s="30">
        <v>43.958567893507677</v>
      </c>
      <c r="V60" s="30">
        <v>0</v>
      </c>
      <c r="W60" s="30">
        <v>14.882242007969467</v>
      </c>
      <c r="X60" s="30">
        <v>0</v>
      </c>
    </row>
    <row r="61" spans="10:24" x14ac:dyDescent="0.25">
      <c r="J61">
        <v>53</v>
      </c>
      <c r="K61" s="30">
        <v>4312.4380860439587</v>
      </c>
      <c r="L61" s="30">
        <v>2583.3789492534634</v>
      </c>
      <c r="M61" s="30">
        <v>2749.0179491222734</v>
      </c>
      <c r="N61" s="30">
        <v>-1191.0008096825859</v>
      </c>
      <c r="O61" s="30">
        <v>459.92036022985485</v>
      </c>
      <c r="P61" s="30">
        <v>-976.46851109299223</v>
      </c>
      <c r="R61">
        <v>53</v>
      </c>
      <c r="S61" s="30">
        <v>186.73045574366409</v>
      </c>
      <c r="T61" s="30">
        <v>355.60731200936607</v>
      </c>
      <c r="U61" s="30">
        <v>19.20764911534792</v>
      </c>
      <c r="V61" s="30">
        <v>0</v>
      </c>
      <c r="W61" s="30">
        <v>71.138476723022677</v>
      </c>
      <c r="X61" s="30">
        <v>0</v>
      </c>
    </row>
    <row r="62" spans="10:24" x14ac:dyDescent="0.25">
      <c r="J62">
        <v>54</v>
      </c>
      <c r="K62" s="30">
        <v>2896.1022825832483</v>
      </c>
      <c r="L62" s="30">
        <v>2228.1196197488193</v>
      </c>
      <c r="M62" s="30">
        <v>2475.0607444522343</v>
      </c>
      <c r="N62" s="30">
        <v>930.51889078479689</v>
      </c>
      <c r="O62" s="30">
        <v>3776.1188469137996</v>
      </c>
      <c r="P62" s="30">
        <v>-551.84487787018679</v>
      </c>
      <c r="R62">
        <v>54</v>
      </c>
      <c r="S62" s="30">
        <v>267.32806925534442</v>
      </c>
      <c r="T62" s="30">
        <v>297.96168379580439</v>
      </c>
      <c r="U62" s="30">
        <v>71.540209140197135</v>
      </c>
      <c r="V62" s="30">
        <v>0</v>
      </c>
      <c r="W62" s="30">
        <v>0</v>
      </c>
      <c r="X62" s="30">
        <v>0</v>
      </c>
    </row>
    <row r="63" spans="10:24" x14ac:dyDescent="0.25">
      <c r="J63">
        <v>55</v>
      </c>
      <c r="K63" s="30">
        <v>3851.6496228756773</v>
      </c>
      <c r="L63" s="30">
        <v>2757.0968925308134</v>
      </c>
      <c r="M63" s="30">
        <v>1501.0403266478097</v>
      </c>
      <c r="N63" s="30">
        <v>695.70013874713368</v>
      </c>
      <c r="O63" s="30">
        <v>2753.7533120215739</v>
      </c>
      <c r="P63" s="30">
        <v>-1809.704817895109</v>
      </c>
      <c r="R63">
        <v>55</v>
      </c>
      <c r="S63" s="30">
        <v>264.15785259067241</v>
      </c>
      <c r="T63" s="30">
        <v>354.80404028693363</v>
      </c>
      <c r="U63" s="30">
        <v>69.368929433343624</v>
      </c>
      <c r="V63" s="30">
        <v>0</v>
      </c>
      <c r="W63" s="30">
        <v>93.859326255509927</v>
      </c>
      <c r="X63" s="30">
        <v>0</v>
      </c>
    </row>
    <row r="64" spans="10:24" x14ac:dyDescent="0.25">
      <c r="J64">
        <v>56</v>
      </c>
      <c r="K64" s="30">
        <v>2744.540165977734</v>
      </c>
      <c r="L64" s="30">
        <v>2790.0639605648253</v>
      </c>
      <c r="M64" s="30">
        <v>1984.1056302588368</v>
      </c>
      <c r="N64" s="30">
        <v>-826.62952661247982</v>
      </c>
      <c r="O64" s="30">
        <v>-119.51502466333022</v>
      </c>
      <c r="P64" s="30">
        <v>-1957.7643072656865</v>
      </c>
      <c r="R64">
        <v>56</v>
      </c>
      <c r="S64" s="30">
        <v>291.45457478458968</v>
      </c>
      <c r="T64" s="30">
        <v>266.10104039848653</v>
      </c>
      <c r="U64" s="30">
        <v>130.2933960995195</v>
      </c>
      <c r="V64" s="30">
        <v>0</v>
      </c>
      <c r="W64" s="30">
        <v>0</v>
      </c>
      <c r="X64" s="30">
        <v>0</v>
      </c>
    </row>
    <row r="65" spans="10:24" x14ac:dyDescent="0.25">
      <c r="J65">
        <v>57</v>
      </c>
      <c r="K65" s="30">
        <v>2384.0286425697518</v>
      </c>
      <c r="L65" s="30">
        <v>2955.3254112254244</v>
      </c>
      <c r="M65" s="30">
        <v>2359.1672466241162</v>
      </c>
      <c r="N65" s="30">
        <v>774.46465526677093</v>
      </c>
      <c r="O65" s="30">
        <v>1950.6590362961479</v>
      </c>
      <c r="P65" s="30">
        <v>-3057.7905139255954</v>
      </c>
      <c r="R65">
        <v>57</v>
      </c>
      <c r="S65" s="30">
        <v>224.76050799890635</v>
      </c>
      <c r="T65" s="30">
        <v>292.67126112778561</v>
      </c>
      <c r="U65" s="30">
        <v>79.525530529355194</v>
      </c>
      <c r="V65" s="30">
        <v>0</v>
      </c>
      <c r="W65" s="30">
        <v>107.40988247600922</v>
      </c>
      <c r="X65" s="30">
        <v>0</v>
      </c>
    </row>
    <row r="66" spans="10:24" x14ac:dyDescent="0.25">
      <c r="J66">
        <v>58</v>
      </c>
      <c r="K66" s="30">
        <v>1884.3412558152431</v>
      </c>
      <c r="L66" s="30">
        <v>3789.5443354619129</v>
      </c>
      <c r="M66" s="30">
        <v>1406.9919258121295</v>
      </c>
      <c r="N66" s="30">
        <v>1995.867628912687</v>
      </c>
      <c r="O66" s="30">
        <v>982.19760083821166</v>
      </c>
      <c r="P66" s="30">
        <v>-1025.2612485733744</v>
      </c>
      <c r="R66">
        <v>58</v>
      </c>
      <c r="S66" s="30">
        <v>248.50973281892328</v>
      </c>
      <c r="T66" s="30">
        <v>397.78507085246218</v>
      </c>
      <c r="U66" s="30">
        <v>240.18072138520353</v>
      </c>
      <c r="V66" s="30">
        <v>0</v>
      </c>
      <c r="W66" s="30">
        <v>0</v>
      </c>
      <c r="X66" s="30">
        <v>0</v>
      </c>
    </row>
    <row r="67" spans="10:24" x14ac:dyDescent="0.25">
      <c r="J67">
        <v>59</v>
      </c>
      <c r="K67" s="30">
        <v>2962.0517019189456</v>
      </c>
      <c r="L67" s="30">
        <v>2075.5251367103347</v>
      </c>
      <c r="M67" s="30">
        <v>2514.2484130064445</v>
      </c>
      <c r="N67" s="30">
        <v>1581.398175041074</v>
      </c>
      <c r="O67" s="30">
        <v>2273.2430453619672</v>
      </c>
      <c r="P67" s="30">
        <v>-1977.6287454610983</v>
      </c>
      <c r="R67">
        <v>59</v>
      </c>
      <c r="S67" s="30">
        <v>339.79280150502132</v>
      </c>
      <c r="T67" s="30">
        <v>262.51334981958053</v>
      </c>
      <c r="U67" s="30">
        <v>155.75809158987119</v>
      </c>
      <c r="V67" s="30">
        <v>0</v>
      </c>
      <c r="W67" s="30">
        <v>0</v>
      </c>
      <c r="X67" s="30">
        <v>0</v>
      </c>
    </row>
    <row r="68" spans="10:24" x14ac:dyDescent="0.25">
      <c r="J68">
        <v>60</v>
      </c>
      <c r="K68" s="30">
        <v>2639.5972096186142</v>
      </c>
      <c r="L68" s="30">
        <v>3067.5795744173711</v>
      </c>
      <c r="M68" s="30">
        <v>1980.2984712108218</v>
      </c>
      <c r="N68" s="30">
        <v>167.08077472500645</v>
      </c>
      <c r="O68" s="30">
        <v>1486.9351790286482</v>
      </c>
      <c r="P68" s="30">
        <v>-1874.8185744244611</v>
      </c>
      <c r="R68">
        <v>60</v>
      </c>
      <c r="S68" s="30">
        <v>235.5340658719723</v>
      </c>
      <c r="T68" s="30">
        <v>168.74959063034686</v>
      </c>
      <c r="U68" s="30">
        <v>104.23843363670227</v>
      </c>
      <c r="V68" s="30">
        <v>105.1371883446343</v>
      </c>
      <c r="W68" s="30">
        <v>0</v>
      </c>
      <c r="X68" s="30">
        <v>0</v>
      </c>
    </row>
    <row r="69" spans="10:24" x14ac:dyDescent="0.25">
      <c r="J69">
        <v>61</v>
      </c>
      <c r="K69" s="30">
        <v>2867.3609058645634</v>
      </c>
      <c r="L69" s="30">
        <v>4152.6632053000667</v>
      </c>
      <c r="M69" s="30">
        <v>1468.8664125692067</v>
      </c>
      <c r="N69" s="30">
        <v>489.41094300073746</v>
      </c>
      <c r="O69" s="30">
        <v>1618.7904371187233</v>
      </c>
      <c r="P69" s="30">
        <v>-22.361046805634032</v>
      </c>
      <c r="R69">
        <v>61</v>
      </c>
      <c r="S69" s="30">
        <v>263.34718924259397</v>
      </c>
      <c r="T69" s="30">
        <v>239.86696818617514</v>
      </c>
      <c r="U69" s="30">
        <v>54.416232076425388</v>
      </c>
      <c r="V69" s="30">
        <v>0</v>
      </c>
      <c r="W69" s="30">
        <v>0</v>
      </c>
      <c r="X69" s="30">
        <v>0</v>
      </c>
    </row>
    <row r="70" spans="10:24" x14ac:dyDescent="0.25">
      <c r="J70">
        <v>62</v>
      </c>
      <c r="K70" s="30">
        <v>2711.6017462928303</v>
      </c>
      <c r="L70" s="30">
        <v>2702.5859430772271</v>
      </c>
      <c r="M70" s="30">
        <v>3897.5937458627263</v>
      </c>
      <c r="N70" s="30">
        <v>-177.94804725441554</v>
      </c>
      <c r="O70" s="30">
        <v>-209.01069832320081</v>
      </c>
      <c r="P70" s="30">
        <v>-365.33982353317424</v>
      </c>
      <c r="R70">
        <v>62</v>
      </c>
      <c r="S70" s="30">
        <v>138.22243471031101</v>
      </c>
      <c r="T70" s="30">
        <v>258.14896301731716</v>
      </c>
      <c r="U70" s="30">
        <v>96.086035172384015</v>
      </c>
      <c r="V70" s="30">
        <v>0</v>
      </c>
      <c r="W70" s="30">
        <v>87.814312103933162</v>
      </c>
      <c r="X70" s="30">
        <v>0</v>
      </c>
    </row>
    <row r="71" spans="10:24" x14ac:dyDescent="0.25">
      <c r="J71">
        <v>63</v>
      </c>
      <c r="K71" s="30">
        <v>3018.6682867064928</v>
      </c>
      <c r="L71" s="30">
        <v>2475.87647292361</v>
      </c>
      <c r="M71" s="30">
        <v>2032.4505841764158</v>
      </c>
      <c r="N71" s="30">
        <v>968.21506483798294</v>
      </c>
      <c r="O71" s="30">
        <v>876.15749319815859</v>
      </c>
      <c r="P71" s="30">
        <v>-395.60729628783793</v>
      </c>
      <c r="R71">
        <v>63</v>
      </c>
      <c r="S71" s="30">
        <v>225.13258160488283</v>
      </c>
      <c r="T71" s="30">
        <v>373.40878191347434</v>
      </c>
      <c r="U71" s="30">
        <v>102.18038391539847</v>
      </c>
      <c r="V71" s="30">
        <v>209.72342022257351</v>
      </c>
      <c r="W71" s="30">
        <v>0</v>
      </c>
      <c r="X71" s="30">
        <v>0</v>
      </c>
    </row>
    <row r="72" spans="10:24" x14ac:dyDescent="0.25">
      <c r="J72">
        <v>64</v>
      </c>
      <c r="K72" s="30">
        <v>2249.7892179017954</v>
      </c>
      <c r="L72" s="30">
        <v>3947.9202688734304</v>
      </c>
      <c r="M72" s="30">
        <v>3916.1926374611244</v>
      </c>
      <c r="N72" s="30">
        <v>2485.562415964193</v>
      </c>
      <c r="O72" s="30">
        <v>2106.3138512950263</v>
      </c>
      <c r="P72" s="30">
        <v>-268.01166711609676</v>
      </c>
      <c r="R72">
        <v>64</v>
      </c>
      <c r="S72" s="30">
        <v>344.77869391199016</v>
      </c>
      <c r="T72" s="30">
        <v>125.11995429836014</v>
      </c>
      <c r="U72" s="30">
        <v>245.20739887045823</v>
      </c>
      <c r="V72" s="30">
        <v>0</v>
      </c>
      <c r="W72" s="30">
        <v>0</v>
      </c>
      <c r="X72" s="30">
        <v>0</v>
      </c>
    </row>
    <row r="73" spans="10:24" x14ac:dyDescent="0.25">
      <c r="J73">
        <v>65</v>
      </c>
      <c r="K73" s="30">
        <v>2622.8112404095832</v>
      </c>
      <c r="L73" s="30">
        <v>3679.6148269056025</v>
      </c>
      <c r="M73" s="30">
        <v>3143.0451656235541</v>
      </c>
      <c r="N73" s="30">
        <v>945.74185230579769</v>
      </c>
      <c r="O73" s="30">
        <v>30.202072094081814</v>
      </c>
      <c r="P73" s="30">
        <v>-574.51085190087633</v>
      </c>
      <c r="R73">
        <v>65</v>
      </c>
      <c r="S73" s="30">
        <v>318.68104536168414</v>
      </c>
      <c r="T73" s="30">
        <v>293.46325395202541</v>
      </c>
      <c r="U73" s="30">
        <v>174.00412770225705</v>
      </c>
      <c r="V73" s="30">
        <v>0</v>
      </c>
      <c r="W73" s="30">
        <v>0</v>
      </c>
      <c r="X73" s="30">
        <v>0</v>
      </c>
    </row>
    <row r="74" spans="10:24" x14ac:dyDescent="0.25">
      <c r="J74">
        <v>66</v>
      </c>
      <c r="K74" s="30">
        <v>2154.4470923931908</v>
      </c>
      <c r="L74" s="30">
        <v>2679.3805717868204</v>
      </c>
      <c r="M74" s="30">
        <v>2067.6276307976718</v>
      </c>
      <c r="N74" s="30">
        <v>2600.0190748949726</v>
      </c>
      <c r="O74" s="30">
        <v>351.49492093583285</v>
      </c>
      <c r="P74" s="30">
        <v>1371.8346121251243</v>
      </c>
      <c r="R74">
        <v>66</v>
      </c>
      <c r="S74" s="30">
        <v>336.18414284395703</v>
      </c>
      <c r="T74" s="30">
        <v>166.01750055883639</v>
      </c>
      <c r="U74" s="30">
        <v>103.85789035886717</v>
      </c>
      <c r="V74" s="30">
        <v>0</v>
      </c>
      <c r="W74" s="30">
        <v>0</v>
      </c>
      <c r="X74" s="30">
        <v>0</v>
      </c>
    </row>
    <row r="75" spans="10:24" x14ac:dyDescent="0.25">
      <c r="J75">
        <v>67</v>
      </c>
      <c r="K75" s="30">
        <v>1656.3101670832293</v>
      </c>
      <c r="L75" s="30">
        <v>2678.5987090842459</v>
      </c>
      <c r="M75" s="30">
        <v>2058.160695627008</v>
      </c>
      <c r="N75" s="30">
        <v>1092.8101043562747</v>
      </c>
      <c r="O75" s="30">
        <v>2214.8584253872241</v>
      </c>
      <c r="P75" s="30">
        <v>-2798.179905977343</v>
      </c>
      <c r="R75">
        <v>67</v>
      </c>
      <c r="S75" s="30">
        <v>320.35042237635952</v>
      </c>
      <c r="T75" s="30">
        <v>356.74855703581869</v>
      </c>
      <c r="U75" s="30">
        <v>64.128873202090688</v>
      </c>
      <c r="V75" s="30">
        <v>0</v>
      </c>
      <c r="W75" s="30">
        <v>0</v>
      </c>
      <c r="X75" s="30">
        <v>0</v>
      </c>
    </row>
    <row r="76" spans="10:24" x14ac:dyDescent="0.25">
      <c r="J76">
        <v>68</v>
      </c>
      <c r="K76" s="30">
        <v>1894.550631550349</v>
      </c>
      <c r="L76" s="30">
        <v>3848.0122780223928</v>
      </c>
      <c r="M76" s="30">
        <v>1336.0276018841373</v>
      </c>
      <c r="N76" s="30">
        <v>2187.8867560075123</v>
      </c>
      <c r="O76" s="30">
        <v>163.74624791296537</v>
      </c>
      <c r="P76" s="30">
        <v>675.06857847335141</v>
      </c>
      <c r="R76">
        <v>68</v>
      </c>
      <c r="S76" s="30">
        <v>173.23049288659359</v>
      </c>
      <c r="T76" s="30">
        <v>359.0580990699716</v>
      </c>
      <c r="U76" s="30">
        <v>167.23313310376466</v>
      </c>
      <c r="V76" s="30">
        <v>0</v>
      </c>
      <c r="W76" s="30">
        <v>70.975459326736882</v>
      </c>
      <c r="X76" s="30">
        <v>0</v>
      </c>
    </row>
    <row r="77" spans="10:24" x14ac:dyDescent="0.25">
      <c r="J77">
        <v>69</v>
      </c>
      <c r="K77" s="30">
        <v>2257.8912544808777</v>
      </c>
      <c r="L77" s="30">
        <v>2698.8091542789089</v>
      </c>
      <c r="M77" s="30">
        <v>2129.1573998181766</v>
      </c>
      <c r="N77" s="30">
        <v>2608.2961638888819</v>
      </c>
      <c r="O77" s="30">
        <v>940.91187209091549</v>
      </c>
      <c r="P77" s="30">
        <v>-795.24773859967445</v>
      </c>
      <c r="R77">
        <v>69</v>
      </c>
      <c r="S77" s="30">
        <v>250.70046370034629</v>
      </c>
      <c r="T77" s="30">
        <v>223.47529798143324</v>
      </c>
      <c r="U77" s="30">
        <v>220.54642364489752</v>
      </c>
      <c r="V77" s="30">
        <v>26.291744672180016</v>
      </c>
      <c r="W77" s="30">
        <v>0</v>
      </c>
      <c r="X77" s="30">
        <v>0</v>
      </c>
    </row>
    <row r="78" spans="10:24" x14ac:dyDescent="0.25">
      <c r="J78">
        <v>70</v>
      </c>
      <c r="K78" s="30">
        <v>2583.0807812160183</v>
      </c>
      <c r="L78" s="30">
        <v>4511.4497048008407</v>
      </c>
      <c r="M78" s="30">
        <v>1314.3153989128004</v>
      </c>
      <c r="N78" s="30">
        <v>-1407.0498262266665</v>
      </c>
      <c r="O78" s="30">
        <v>285.855729323388</v>
      </c>
      <c r="P78" s="30">
        <v>-775.86043697029527</v>
      </c>
      <c r="R78">
        <v>70</v>
      </c>
      <c r="S78" s="30">
        <v>268.27258426322749</v>
      </c>
      <c r="T78" s="30">
        <v>347.50194630373232</v>
      </c>
      <c r="U78" s="30">
        <v>119.80703415116602</v>
      </c>
      <c r="V78" s="30">
        <v>0</v>
      </c>
      <c r="W78" s="30">
        <v>0</v>
      </c>
      <c r="X78" s="30">
        <v>0</v>
      </c>
    </row>
    <row r="79" spans="10:24" x14ac:dyDescent="0.25">
      <c r="J79">
        <v>71</v>
      </c>
      <c r="K79" s="30">
        <v>3766.3115371245785</v>
      </c>
      <c r="L79" s="30">
        <v>3095.2570874454723</v>
      </c>
      <c r="M79" s="30">
        <v>2521.8014122065943</v>
      </c>
      <c r="N79" s="30">
        <v>133.11078419144451</v>
      </c>
      <c r="O79" s="30">
        <v>2153.3570986555815</v>
      </c>
      <c r="P79" s="30">
        <v>-834.48294680036088</v>
      </c>
      <c r="R79">
        <v>71</v>
      </c>
      <c r="S79" s="30">
        <v>299.20286231654916</v>
      </c>
      <c r="T79" s="30">
        <v>279.8828173139745</v>
      </c>
      <c r="U79" s="30">
        <v>172.02665030896139</v>
      </c>
      <c r="V79" s="30">
        <v>26.751062073743014</v>
      </c>
      <c r="W79" s="30">
        <v>29.176712128945042</v>
      </c>
      <c r="X79" s="30">
        <v>0</v>
      </c>
    </row>
    <row r="80" spans="10:24" x14ac:dyDescent="0.25">
      <c r="J80">
        <v>72</v>
      </c>
      <c r="K80" s="30">
        <v>2663.3124151456295</v>
      </c>
      <c r="L80" s="30">
        <v>4516.1069996223505</v>
      </c>
      <c r="M80" s="30">
        <v>3878.7570760713197</v>
      </c>
      <c r="N80" s="30">
        <v>756.01883483310667</v>
      </c>
      <c r="O80" s="30">
        <v>442.79548726265239</v>
      </c>
      <c r="P80" s="30">
        <v>563.96602939274271</v>
      </c>
      <c r="R80">
        <v>72</v>
      </c>
      <c r="S80" s="30">
        <v>248.22241449682429</v>
      </c>
      <c r="T80" s="30">
        <v>325.2279639192131</v>
      </c>
      <c r="U80" s="30">
        <v>214.89916069242997</v>
      </c>
      <c r="V80" s="30">
        <v>0</v>
      </c>
      <c r="W80" s="30">
        <v>123.08782442032708</v>
      </c>
      <c r="X80" s="30">
        <v>0</v>
      </c>
    </row>
    <row r="81" spans="10:24" x14ac:dyDescent="0.25">
      <c r="J81">
        <v>73</v>
      </c>
      <c r="K81" s="30">
        <v>3499.1401154702071</v>
      </c>
      <c r="L81" s="30">
        <v>3709.8515651851963</v>
      </c>
      <c r="M81" s="30">
        <v>1343.5064752901953</v>
      </c>
      <c r="N81" s="30">
        <v>1023.0002995748437</v>
      </c>
      <c r="O81" s="30">
        <v>3869.3263449976776</v>
      </c>
      <c r="P81" s="30">
        <v>-253.23216722611505</v>
      </c>
      <c r="R81">
        <v>73</v>
      </c>
      <c r="S81" s="30">
        <v>268.51324312252274</v>
      </c>
      <c r="T81" s="30">
        <v>241.67291781022203</v>
      </c>
      <c r="U81" s="30">
        <v>269.19315144374872</v>
      </c>
      <c r="V81" s="30">
        <v>41.977875966846682</v>
      </c>
      <c r="W81" s="30">
        <v>0</v>
      </c>
      <c r="X81" s="30">
        <v>0</v>
      </c>
    </row>
    <row r="82" spans="10:24" x14ac:dyDescent="0.25">
      <c r="J82">
        <v>74</v>
      </c>
      <c r="K82" s="30">
        <v>3290.6962084492825</v>
      </c>
      <c r="L82" s="30">
        <v>2417.7140325807159</v>
      </c>
      <c r="M82" s="30">
        <v>2524.5710130564953</v>
      </c>
      <c r="N82" s="30">
        <v>3187.2326832788176</v>
      </c>
      <c r="O82" s="30">
        <v>394.82579179302593</v>
      </c>
      <c r="P82" s="30">
        <v>-349.34591778824688</v>
      </c>
      <c r="R82">
        <v>74</v>
      </c>
      <c r="S82" s="30">
        <v>331.79308413067594</v>
      </c>
      <c r="T82" s="30">
        <v>294.18376472274343</v>
      </c>
      <c r="U82" s="30">
        <v>99.778163564787803</v>
      </c>
      <c r="V82" s="30">
        <v>0</v>
      </c>
      <c r="W82" s="30">
        <v>0</v>
      </c>
      <c r="X82" s="30">
        <v>0</v>
      </c>
    </row>
    <row r="83" spans="10:24" x14ac:dyDescent="0.25">
      <c r="J83">
        <v>75</v>
      </c>
      <c r="K83" s="30">
        <v>2295.370419429275</v>
      </c>
      <c r="L83" s="30">
        <v>3786.6397820605744</v>
      </c>
      <c r="M83" s="30">
        <v>1789.612417823465</v>
      </c>
      <c r="N83" s="30">
        <v>-1081.887395754763</v>
      </c>
      <c r="O83" s="30">
        <v>1970.4813844657729</v>
      </c>
      <c r="P83" s="30">
        <v>-1018.0342566188774</v>
      </c>
      <c r="R83">
        <v>75</v>
      </c>
      <c r="S83" s="30">
        <v>366.66511310914893</v>
      </c>
      <c r="T83" s="30">
        <v>297.01273590439644</v>
      </c>
      <c r="U83" s="30">
        <v>110.15826182228085</v>
      </c>
      <c r="V83" s="30">
        <v>0</v>
      </c>
      <c r="W83" s="30">
        <v>0</v>
      </c>
      <c r="X83" s="30">
        <v>0</v>
      </c>
    </row>
    <row r="84" spans="10:24" x14ac:dyDescent="0.25">
      <c r="J84">
        <v>76</v>
      </c>
      <c r="K84" s="30">
        <v>2643.0733213544208</v>
      </c>
      <c r="L84" s="30">
        <v>4043.15763072563</v>
      </c>
      <c r="M84" s="30">
        <v>2106.6658286333354</v>
      </c>
      <c r="N84" s="30">
        <v>171.04411834243365</v>
      </c>
      <c r="O84" s="30">
        <v>2174.5485962256344</v>
      </c>
      <c r="P84" s="30">
        <v>-1947.3745439477443</v>
      </c>
      <c r="R84">
        <v>76</v>
      </c>
      <c r="S84" s="30">
        <v>339.09294509765539</v>
      </c>
      <c r="T84" s="30">
        <v>251.40344314548526</v>
      </c>
      <c r="U84" s="30">
        <v>260.76239260417344</v>
      </c>
      <c r="V84" s="30">
        <v>0</v>
      </c>
      <c r="W84" s="30">
        <v>0</v>
      </c>
      <c r="X84" s="30">
        <v>0</v>
      </c>
    </row>
    <row r="85" spans="10:24" x14ac:dyDescent="0.25">
      <c r="J85">
        <v>77</v>
      </c>
      <c r="K85" s="30">
        <v>2911.3241037867433</v>
      </c>
      <c r="L85" s="30">
        <v>3222.3214859568661</v>
      </c>
      <c r="M85" s="30">
        <v>2432.2666212435738</v>
      </c>
      <c r="N85" s="30">
        <v>-1942.7864597731841</v>
      </c>
      <c r="O85" s="30">
        <v>830.01858860462835</v>
      </c>
      <c r="P85" s="30">
        <v>-75.404964498195113</v>
      </c>
      <c r="R85">
        <v>77</v>
      </c>
      <c r="S85" s="30">
        <v>268.79525213689573</v>
      </c>
      <c r="T85" s="30">
        <v>129.83178189758274</v>
      </c>
      <c r="U85" s="30">
        <v>163.03242994756647</v>
      </c>
      <c r="V85" s="30">
        <v>0</v>
      </c>
      <c r="W85" s="30">
        <v>41.344751626910579</v>
      </c>
      <c r="X85" s="30">
        <v>0</v>
      </c>
    </row>
    <row r="86" spans="10:24" x14ac:dyDescent="0.25">
      <c r="J86">
        <v>78</v>
      </c>
      <c r="K86" s="30">
        <v>3235.4286813248891</v>
      </c>
      <c r="L86" s="30">
        <v>1945.6366788501978</v>
      </c>
      <c r="M86" s="30">
        <v>3667.6032655296326</v>
      </c>
      <c r="N86" s="30">
        <v>129.51624572111086</v>
      </c>
      <c r="O86" s="30">
        <v>-536.72735762822231</v>
      </c>
      <c r="P86" s="30">
        <v>391.96054049023314</v>
      </c>
      <c r="R86">
        <v>78</v>
      </c>
      <c r="S86" s="30">
        <v>293.91062749319929</v>
      </c>
      <c r="T86" s="30">
        <v>318.99396880782865</v>
      </c>
      <c r="U86" s="30">
        <v>170.40729006477261</v>
      </c>
      <c r="V86" s="30">
        <v>0</v>
      </c>
      <c r="W86" s="30">
        <v>29.928317567681802</v>
      </c>
      <c r="X86" s="30">
        <v>0</v>
      </c>
    </row>
    <row r="87" spans="10:24" x14ac:dyDescent="0.25">
      <c r="J87">
        <v>79</v>
      </c>
      <c r="K87" s="30">
        <v>2428.6263412042949</v>
      </c>
      <c r="L87" s="30">
        <v>3260.5113678057851</v>
      </c>
      <c r="M87" s="30">
        <v>2464.7013022650517</v>
      </c>
      <c r="N87" s="30">
        <v>-2487.632340039303</v>
      </c>
      <c r="O87" s="30">
        <v>-301.63048092793906</v>
      </c>
      <c r="P87" s="30">
        <v>405.99285927435722</v>
      </c>
      <c r="R87">
        <v>79</v>
      </c>
      <c r="S87" s="30">
        <v>318.26236895647003</v>
      </c>
      <c r="T87" s="30">
        <v>365.62758688932593</v>
      </c>
      <c r="U87" s="30">
        <v>52.087994413977697</v>
      </c>
      <c r="V87" s="30">
        <v>0</v>
      </c>
      <c r="W87" s="30">
        <v>0</v>
      </c>
      <c r="X87" s="30">
        <v>0</v>
      </c>
    </row>
    <row r="88" spans="10:24" x14ac:dyDescent="0.25">
      <c r="J88">
        <v>80</v>
      </c>
      <c r="K88" s="30">
        <v>3108.7572244670591</v>
      </c>
      <c r="L88" s="30">
        <v>4153.3593745565267</v>
      </c>
      <c r="M88" s="30">
        <v>2390.4553213736235</v>
      </c>
      <c r="N88" s="30">
        <v>-1686.8729999807138</v>
      </c>
      <c r="O88" s="30">
        <v>2319.3711511222336</v>
      </c>
      <c r="P88" s="30">
        <v>-832.26982179404058</v>
      </c>
      <c r="R88">
        <v>80</v>
      </c>
      <c r="S88" s="30">
        <v>189.18080955995657</v>
      </c>
      <c r="T88" s="30">
        <v>376.44063037384808</v>
      </c>
      <c r="U88" s="30">
        <v>223.75079883949826</v>
      </c>
      <c r="V88" s="30">
        <v>0</v>
      </c>
      <c r="W88" s="30">
        <v>0</v>
      </c>
      <c r="X88" s="30">
        <v>0</v>
      </c>
    </row>
    <row r="89" spans="10:24" x14ac:dyDescent="0.25">
      <c r="J89">
        <v>81</v>
      </c>
      <c r="K89" s="30">
        <v>2511.8424031990576</v>
      </c>
      <c r="L89" s="30">
        <v>2340.4730944851299</v>
      </c>
      <c r="M89" s="30">
        <v>3521.1713728897894</v>
      </c>
      <c r="N89" s="30">
        <v>637.93353582845157</v>
      </c>
      <c r="O89" s="30">
        <v>780.3174655501989</v>
      </c>
      <c r="P89" s="30">
        <v>-1970.4087879700655</v>
      </c>
      <c r="R89">
        <v>81</v>
      </c>
      <c r="S89" s="30">
        <v>276.60979598026785</v>
      </c>
      <c r="T89" s="30">
        <v>337.75528025893152</v>
      </c>
      <c r="U89" s="30">
        <v>264.6391287088473</v>
      </c>
      <c r="V89" s="30">
        <v>8.6150748909407184</v>
      </c>
      <c r="W89" s="30">
        <v>0</v>
      </c>
      <c r="X89" s="30">
        <v>0</v>
      </c>
    </row>
    <row r="90" spans="10:24" x14ac:dyDescent="0.25">
      <c r="J90">
        <v>82</v>
      </c>
      <c r="K90" s="30">
        <v>3880.8229588112927</v>
      </c>
      <c r="L90" s="30">
        <v>3418.0971562399372</v>
      </c>
      <c r="M90" s="30">
        <v>1852.248305889329</v>
      </c>
      <c r="N90" s="30">
        <v>-755.6514299652963</v>
      </c>
      <c r="O90" s="30">
        <v>1476.6543743957063</v>
      </c>
      <c r="P90" s="30">
        <v>-440.98647287902622</v>
      </c>
      <c r="R90">
        <v>82</v>
      </c>
      <c r="S90" s="30">
        <v>240.81939277913779</v>
      </c>
      <c r="T90" s="30">
        <v>240.62653297010905</v>
      </c>
      <c r="U90" s="30">
        <v>252.09316314040035</v>
      </c>
      <c r="V90" s="30">
        <v>0</v>
      </c>
      <c r="W90" s="30">
        <v>66.974376624926435</v>
      </c>
      <c r="X90" s="30">
        <v>0</v>
      </c>
    </row>
    <row r="91" spans="10:24" x14ac:dyDescent="0.25">
      <c r="J91">
        <v>83</v>
      </c>
      <c r="K91" s="30">
        <v>2883.6324629342771</v>
      </c>
      <c r="L91" s="30">
        <v>2050.923507027584</v>
      </c>
      <c r="M91" s="30">
        <v>4064.5891955014281</v>
      </c>
      <c r="N91" s="30">
        <v>1409.3053967454971</v>
      </c>
      <c r="O91" s="30">
        <v>300.64663223601565</v>
      </c>
      <c r="P91" s="30">
        <v>-2224.9072919067839</v>
      </c>
      <c r="R91">
        <v>83</v>
      </c>
      <c r="S91" s="30">
        <v>343.95081479227952</v>
      </c>
      <c r="T91" s="30">
        <v>402.16527149177728</v>
      </c>
      <c r="U91" s="30">
        <v>33.081404769609492</v>
      </c>
      <c r="V91" s="30">
        <v>0</v>
      </c>
      <c r="W91" s="30">
        <v>56.971713114256772</v>
      </c>
      <c r="X91" s="30">
        <v>0</v>
      </c>
    </row>
    <row r="92" spans="10:24" x14ac:dyDescent="0.25">
      <c r="J92">
        <v>84</v>
      </c>
      <c r="K92" s="30">
        <v>1953.1477930404708</v>
      </c>
      <c r="L92" s="30">
        <v>3711.6612013420104</v>
      </c>
      <c r="M92" s="30">
        <v>2575.0482290668151</v>
      </c>
      <c r="N92" s="30">
        <v>-161.51786347489269</v>
      </c>
      <c r="O92" s="30">
        <v>2076.1116016561473</v>
      </c>
      <c r="P92" s="30">
        <v>-1139.4207896672442</v>
      </c>
      <c r="R92">
        <v>84</v>
      </c>
      <c r="S92" s="30">
        <v>318.43342236153609</v>
      </c>
      <c r="T92" s="30">
        <v>264.18927604144807</v>
      </c>
      <c r="U92" s="30">
        <v>233.42923448306925</v>
      </c>
      <c r="V92" s="30">
        <v>0</v>
      </c>
      <c r="W92" s="30">
        <v>0</v>
      </c>
      <c r="X92" s="30">
        <v>0</v>
      </c>
    </row>
    <row r="93" spans="10:24" x14ac:dyDescent="0.25">
      <c r="J93">
        <v>85</v>
      </c>
      <c r="K93" s="30">
        <v>3212.7432314645644</v>
      </c>
      <c r="L93" s="30">
        <v>3107.2982535687679</v>
      </c>
      <c r="M93" s="30">
        <v>2390.4324309783842</v>
      </c>
      <c r="N93" s="30">
        <v>-590.95599026376203</v>
      </c>
      <c r="O93" s="30">
        <v>77.953193860585998</v>
      </c>
      <c r="P93" s="30">
        <v>-2098.0997360945485</v>
      </c>
      <c r="R93">
        <v>85</v>
      </c>
      <c r="S93" s="30">
        <v>230.83903073039363</v>
      </c>
      <c r="T93" s="30">
        <v>203.0348575641421</v>
      </c>
      <c r="U93" s="30">
        <v>165.4167251316814</v>
      </c>
      <c r="V93" s="30">
        <v>0</v>
      </c>
      <c r="W93" s="30">
        <v>0</v>
      </c>
      <c r="X93" s="30">
        <v>0</v>
      </c>
    </row>
    <row r="94" spans="10:24" x14ac:dyDescent="0.25">
      <c r="J94">
        <v>86</v>
      </c>
      <c r="K94" s="30">
        <v>2429.9216903783195</v>
      </c>
      <c r="L94" s="30">
        <v>2272.0324520996655</v>
      </c>
      <c r="M94" s="30">
        <v>2504.9470283928331</v>
      </c>
      <c r="N94" s="30">
        <v>1580.614652796824</v>
      </c>
      <c r="O94" s="30">
        <v>-734.28811290357226</v>
      </c>
      <c r="P94" s="30">
        <v>-1476.7375344437969</v>
      </c>
      <c r="R94">
        <v>86</v>
      </c>
      <c r="S94" s="30">
        <v>262.56154294450511</v>
      </c>
      <c r="T94" s="30">
        <v>243.36593635406575</v>
      </c>
      <c r="U94" s="30">
        <v>123.09213634887556</v>
      </c>
      <c r="V94" s="30">
        <v>0</v>
      </c>
      <c r="W94" s="30">
        <v>0</v>
      </c>
      <c r="X94" s="30">
        <v>0</v>
      </c>
    </row>
    <row r="95" spans="10:24" x14ac:dyDescent="0.25">
      <c r="J95">
        <v>87</v>
      </c>
      <c r="K95" s="30">
        <v>2549.0368165717609</v>
      </c>
      <c r="L95" s="30">
        <v>2904.3077775526863</v>
      </c>
      <c r="M95" s="30">
        <v>1530.5260642621424</v>
      </c>
      <c r="N95" s="30">
        <v>35.82104572764456</v>
      </c>
      <c r="O95" s="30">
        <v>-1369.3644130991015</v>
      </c>
      <c r="P95" s="30">
        <v>169.8176186340861</v>
      </c>
      <c r="R95">
        <v>87</v>
      </c>
      <c r="S95" s="30">
        <v>313.17506401696949</v>
      </c>
      <c r="T95" s="30">
        <v>277.57550754675827</v>
      </c>
      <c r="U95" s="30">
        <v>139.40904873203283</v>
      </c>
      <c r="V95" s="30">
        <v>0</v>
      </c>
      <c r="W95" s="30">
        <v>0</v>
      </c>
      <c r="X95" s="30">
        <v>0</v>
      </c>
    </row>
    <row r="96" spans="10:24" x14ac:dyDescent="0.25">
      <c r="J96">
        <v>88</v>
      </c>
      <c r="K96" s="30">
        <v>2988.0677170581089</v>
      </c>
      <c r="L96" s="30">
        <v>3379.8314536007229</v>
      </c>
      <c r="M96" s="30">
        <v>2120.8067171933717</v>
      </c>
      <c r="N96" s="30">
        <v>-1514.5113107491998</v>
      </c>
      <c r="O96" s="30">
        <v>1205.0268200028822</v>
      </c>
      <c r="P96" s="30">
        <v>362.95823595297588</v>
      </c>
      <c r="R96">
        <v>88</v>
      </c>
      <c r="S96" s="30">
        <v>445.76356480795101</v>
      </c>
      <c r="T96" s="30">
        <v>417.58253839733698</v>
      </c>
      <c r="U96" s="30">
        <v>149.85998031898072</v>
      </c>
      <c r="V96" s="30">
        <v>0</v>
      </c>
      <c r="W96" s="30">
        <v>43.937116787425339</v>
      </c>
      <c r="X96" s="30">
        <v>0</v>
      </c>
    </row>
    <row r="97" spans="10:24" x14ac:dyDescent="0.25">
      <c r="J97">
        <v>89</v>
      </c>
      <c r="K97" s="30">
        <v>2923.759523628004</v>
      </c>
      <c r="L97" s="30">
        <v>2319.0703381155095</v>
      </c>
      <c r="M97" s="30">
        <v>3610.0579784080232</v>
      </c>
      <c r="N97" s="30">
        <v>-545.34714469007849</v>
      </c>
      <c r="O97" s="30">
        <v>995.70154785426166</v>
      </c>
      <c r="P97" s="30">
        <v>133.75550028293128</v>
      </c>
      <c r="R97">
        <v>89</v>
      </c>
      <c r="S97" s="30">
        <v>280.68645458038765</v>
      </c>
      <c r="T97" s="30">
        <v>383.01394425004793</v>
      </c>
      <c r="U97" s="30">
        <v>225.49663664918381</v>
      </c>
      <c r="V97" s="30">
        <v>0</v>
      </c>
      <c r="W97" s="30">
        <v>0</v>
      </c>
      <c r="X97" s="30">
        <v>0</v>
      </c>
    </row>
    <row r="98" spans="10:24" x14ac:dyDescent="0.25">
      <c r="J98">
        <v>90</v>
      </c>
      <c r="K98" s="30">
        <v>3618.295131695716</v>
      </c>
      <c r="L98" s="30">
        <v>4022.612330561356</v>
      </c>
      <c r="M98" s="30">
        <v>2127.9731107579628</v>
      </c>
      <c r="N98" s="30">
        <v>931.19025880953996</v>
      </c>
      <c r="O98" s="30">
        <v>3495.1453771642591</v>
      </c>
      <c r="P98" s="30">
        <v>-1271.2097517898128</v>
      </c>
      <c r="R98">
        <v>90</v>
      </c>
      <c r="S98" s="30">
        <v>203.01001788592589</v>
      </c>
      <c r="T98" s="30">
        <v>405.22698181152327</v>
      </c>
      <c r="U98" s="30">
        <v>222.56448089390636</v>
      </c>
      <c r="V98" s="30">
        <v>0</v>
      </c>
      <c r="W98" s="30">
        <v>0</v>
      </c>
      <c r="X98" s="30">
        <v>140.98563745745571</v>
      </c>
    </row>
    <row r="99" spans="10:24" x14ac:dyDescent="0.25">
      <c r="J99">
        <v>91</v>
      </c>
      <c r="K99" s="30">
        <v>3006.9911058316011</v>
      </c>
      <c r="L99" s="30">
        <v>2429.5053624005286</v>
      </c>
      <c r="M99" s="30">
        <v>3127.0342944569529</v>
      </c>
      <c r="N99" s="30">
        <v>2290.5850055076335</v>
      </c>
      <c r="O99" s="30">
        <v>1193.2233894352039</v>
      </c>
      <c r="P99" s="30">
        <v>-473.07160550340996</v>
      </c>
      <c r="R99">
        <v>91</v>
      </c>
      <c r="S99" s="30">
        <v>232.18540097058957</v>
      </c>
      <c r="T99" s="30">
        <v>279.76742345507125</v>
      </c>
      <c r="U99" s="30">
        <v>225.19338321534491</v>
      </c>
      <c r="V99" s="30">
        <v>0</v>
      </c>
      <c r="W99" s="30">
        <v>0</v>
      </c>
      <c r="X99" s="30">
        <v>0</v>
      </c>
    </row>
    <row r="100" spans="10:24" x14ac:dyDescent="0.25">
      <c r="J100">
        <v>92</v>
      </c>
      <c r="K100" s="30">
        <v>4074.8902365025074</v>
      </c>
      <c r="L100" s="30">
        <v>2591.7758767735904</v>
      </c>
      <c r="M100" s="30">
        <v>2357.474353123881</v>
      </c>
      <c r="N100" s="30">
        <v>936.18179500290807</v>
      </c>
      <c r="O100" s="30">
        <v>2042.7493459540956</v>
      </c>
      <c r="P100" s="30">
        <v>-2879.1040386449667</v>
      </c>
      <c r="R100">
        <v>92</v>
      </c>
      <c r="S100" s="30">
        <v>311.20668333217401</v>
      </c>
      <c r="T100" s="30">
        <v>347.12568638325592</v>
      </c>
      <c r="U100" s="30">
        <v>310.92107342745481</v>
      </c>
      <c r="V100" s="30">
        <v>0</v>
      </c>
      <c r="W100" s="30">
        <v>33.205523827171874</v>
      </c>
      <c r="X100" s="30">
        <v>0</v>
      </c>
    </row>
    <row r="101" spans="10:24" x14ac:dyDescent="0.25">
      <c r="J101">
        <v>93</v>
      </c>
      <c r="K101" s="30">
        <v>2261.2841182596853</v>
      </c>
      <c r="L101" s="30">
        <v>2406.3217899531633</v>
      </c>
      <c r="M101" s="30">
        <v>1334.059012019155</v>
      </c>
      <c r="N101" s="30">
        <v>1316.4615493779293</v>
      </c>
      <c r="O101" s="30">
        <v>4719.511818870873</v>
      </c>
      <c r="P101" s="30">
        <v>1793.9636007128947</v>
      </c>
      <c r="R101">
        <v>93</v>
      </c>
      <c r="S101" s="30">
        <v>227.07489646780408</v>
      </c>
      <c r="T101" s="30">
        <v>370.08248549828778</v>
      </c>
      <c r="U101" s="30">
        <v>124.53079317339484</v>
      </c>
      <c r="V101" s="30">
        <v>0</v>
      </c>
      <c r="W101" s="30">
        <v>0</v>
      </c>
      <c r="X101" s="30">
        <v>0</v>
      </c>
    </row>
    <row r="102" spans="10:24" x14ac:dyDescent="0.25">
      <c r="J102">
        <v>94</v>
      </c>
      <c r="K102" s="30">
        <v>2858.7505620321435</v>
      </c>
      <c r="L102" s="30">
        <v>2548.4858770491564</v>
      </c>
      <c r="M102" s="30">
        <v>1980.1045901380758</v>
      </c>
      <c r="N102" s="30">
        <v>861.51728756057037</v>
      </c>
      <c r="O102" s="30">
        <v>2739.3169203746356</v>
      </c>
      <c r="P102" s="30">
        <v>-822.88528270482948</v>
      </c>
      <c r="R102">
        <v>94</v>
      </c>
      <c r="S102" s="30">
        <v>335.72011111214067</v>
      </c>
      <c r="T102" s="30">
        <v>188.58814529408016</v>
      </c>
      <c r="U102" s="30">
        <v>237.53124489546428</v>
      </c>
      <c r="V102" s="30">
        <v>0</v>
      </c>
      <c r="W102" s="30">
        <v>0</v>
      </c>
      <c r="X102" s="30">
        <v>0</v>
      </c>
    </row>
    <row r="103" spans="10:24" x14ac:dyDescent="0.25">
      <c r="J103">
        <v>95</v>
      </c>
      <c r="K103" s="30">
        <v>2718.1887129138249</v>
      </c>
      <c r="L103" s="30">
        <v>2764.6297180893343</v>
      </c>
      <c r="M103" s="30">
        <v>2355.0806892376763</v>
      </c>
      <c r="N103" s="30">
        <v>630.05634245142937</v>
      </c>
      <c r="O103" s="30">
        <v>864.8514873122258</v>
      </c>
      <c r="P103" s="30">
        <v>-1293.4102521313434</v>
      </c>
      <c r="R103">
        <v>95</v>
      </c>
      <c r="S103" s="30">
        <v>194.32905100117864</v>
      </c>
      <c r="T103" s="30">
        <v>273.42961067556098</v>
      </c>
      <c r="U103" s="30">
        <v>135.40022518447199</v>
      </c>
      <c r="V103" s="30">
        <v>0</v>
      </c>
      <c r="W103" s="30">
        <v>0</v>
      </c>
      <c r="X103" s="30">
        <v>0</v>
      </c>
    </row>
    <row r="104" spans="10:24" x14ac:dyDescent="0.25">
      <c r="J104">
        <v>96</v>
      </c>
      <c r="K104" s="30">
        <v>4270.1616332936974</v>
      </c>
      <c r="L104" s="30">
        <v>2823.7189389906162</v>
      </c>
      <c r="M104" s="30">
        <v>3862.7797228735421</v>
      </c>
      <c r="N104" s="30">
        <v>2302.3141132149576</v>
      </c>
      <c r="O104" s="30">
        <v>-199.08871299212205</v>
      </c>
      <c r="P104" s="30">
        <v>-2330.8774337873474</v>
      </c>
      <c r="R104">
        <v>96</v>
      </c>
      <c r="S104" s="30">
        <v>256.44923687902542</v>
      </c>
      <c r="T104" s="30">
        <v>230.29736115393973</v>
      </c>
      <c r="U104" s="30">
        <v>83.755885014180421</v>
      </c>
      <c r="V104" s="30">
        <v>0</v>
      </c>
      <c r="W104" s="30">
        <v>0</v>
      </c>
      <c r="X104" s="30">
        <v>0</v>
      </c>
    </row>
    <row r="105" spans="10:24" x14ac:dyDescent="0.25">
      <c r="J105">
        <v>97</v>
      </c>
      <c r="K105" s="30">
        <v>2756.2506142325774</v>
      </c>
      <c r="L105" s="30">
        <v>2817.1536113666525</v>
      </c>
      <c r="M105" s="30">
        <v>1983.8749955618691</v>
      </c>
      <c r="N105" s="30">
        <v>1490.9205887868893</v>
      </c>
      <c r="O105" s="30">
        <v>-222.81703871960326</v>
      </c>
      <c r="P105" s="30">
        <v>1081.8565262045895</v>
      </c>
      <c r="R105">
        <v>97</v>
      </c>
      <c r="S105" s="30">
        <v>309.05699285262608</v>
      </c>
      <c r="T105" s="30">
        <v>292.13196894715639</v>
      </c>
      <c r="U105" s="30">
        <v>81.268614897961129</v>
      </c>
      <c r="V105" s="30">
        <v>0</v>
      </c>
      <c r="W105" s="30">
        <v>108.5641452211969</v>
      </c>
      <c r="X105" s="30">
        <v>0</v>
      </c>
    </row>
    <row r="106" spans="10:24" x14ac:dyDescent="0.25">
      <c r="J106">
        <v>98</v>
      </c>
      <c r="K106" s="30">
        <v>2631.5287049762719</v>
      </c>
      <c r="L106" s="30">
        <v>2683.4218317371642</v>
      </c>
      <c r="M106" s="30">
        <v>1705.641879039335</v>
      </c>
      <c r="N106" s="30">
        <v>-1684.9360171374874</v>
      </c>
      <c r="O106" s="30">
        <v>1671.5886680129634</v>
      </c>
      <c r="P106" s="30">
        <v>-996.04921592957453</v>
      </c>
      <c r="R106">
        <v>98</v>
      </c>
      <c r="S106" s="30">
        <v>189.12382133425814</v>
      </c>
      <c r="T106" s="30">
        <v>419.18683963323906</v>
      </c>
      <c r="U106" s="30">
        <v>69.540506918150584</v>
      </c>
      <c r="V106" s="30">
        <v>0</v>
      </c>
      <c r="W106" s="30">
        <v>117.5375889080363</v>
      </c>
      <c r="X106" s="30">
        <v>0</v>
      </c>
    </row>
    <row r="107" spans="10:24" x14ac:dyDescent="0.25">
      <c r="J107">
        <v>99</v>
      </c>
      <c r="K107" s="30">
        <v>1848.2296410351464</v>
      </c>
      <c r="L107" s="30">
        <v>2557.3449314595659</v>
      </c>
      <c r="M107" s="30">
        <v>2644.9433103091515</v>
      </c>
      <c r="N107" s="30">
        <v>-161.84279386098569</v>
      </c>
      <c r="O107" s="30">
        <v>113.25961283432571</v>
      </c>
      <c r="P107" s="30">
        <v>391.82825701915408</v>
      </c>
      <c r="R107">
        <v>99</v>
      </c>
      <c r="S107" s="30">
        <v>219.85829108232792</v>
      </c>
      <c r="T107" s="30">
        <v>277.35877174411019</v>
      </c>
      <c r="U107" s="30">
        <v>13.392910282431217</v>
      </c>
      <c r="V107" s="30">
        <v>0</v>
      </c>
      <c r="W107" s="30">
        <v>0</v>
      </c>
      <c r="X107" s="30">
        <v>0</v>
      </c>
    </row>
    <row r="108" spans="10:24" x14ac:dyDescent="0.25">
      <c r="J108">
        <v>100</v>
      </c>
      <c r="K108" s="30">
        <v>2747.9741380667219</v>
      </c>
      <c r="L108" s="30">
        <v>3127.0826631994714</v>
      </c>
      <c r="M108" s="30">
        <v>1744.5971723588464</v>
      </c>
      <c r="N108" s="30">
        <v>2147.3292042781331</v>
      </c>
      <c r="O108" s="30">
        <v>1315.7397042878829</v>
      </c>
      <c r="P108" s="30">
        <v>787.92902934501763</v>
      </c>
      <c r="R108">
        <v>100</v>
      </c>
      <c r="S108" s="30">
        <v>298.10748027399546</v>
      </c>
      <c r="T108" s="30">
        <v>206.85595943041119</v>
      </c>
      <c r="U108" s="30">
        <v>209.02080658800966</v>
      </c>
      <c r="V108" s="30">
        <v>0</v>
      </c>
      <c r="W108" s="30">
        <v>0</v>
      </c>
      <c r="X108" s="30">
        <v>26.589505305272667</v>
      </c>
    </row>
    <row r="109" spans="10:24" x14ac:dyDescent="0.25">
      <c r="J109">
        <v>101</v>
      </c>
      <c r="K109" s="30">
        <v>3965.4580874873182</v>
      </c>
      <c r="L109" s="30">
        <v>3193.9950227520421</v>
      </c>
      <c r="M109" s="30">
        <v>3425.1710077051462</v>
      </c>
      <c r="N109" s="30">
        <v>426.9959258119552</v>
      </c>
      <c r="O109" s="30">
        <v>3287.4459859277003</v>
      </c>
      <c r="P109" s="30">
        <v>-394.34172655929888</v>
      </c>
      <c r="R109">
        <v>101</v>
      </c>
      <c r="S109" s="30">
        <v>221.87437941084227</v>
      </c>
      <c r="T109" s="30">
        <v>302.37961740497479</v>
      </c>
      <c r="U109" s="30">
        <v>229.57876855835008</v>
      </c>
      <c r="V109" s="30">
        <v>0</v>
      </c>
      <c r="W109" s="30">
        <v>3.3071513236901637</v>
      </c>
      <c r="X109" s="30">
        <v>0</v>
      </c>
    </row>
    <row r="110" spans="10:24" x14ac:dyDescent="0.25">
      <c r="J110">
        <v>102</v>
      </c>
      <c r="K110" s="30">
        <v>3442.037010692437</v>
      </c>
      <c r="L110" s="30">
        <v>3074.4489136312445</v>
      </c>
      <c r="M110" s="30">
        <v>3538.8290130622045</v>
      </c>
      <c r="N110" s="30">
        <v>3515.2901323754604</v>
      </c>
      <c r="O110" s="30">
        <v>1567.2584268027813</v>
      </c>
      <c r="P110" s="30">
        <v>-622.58553598721301</v>
      </c>
      <c r="R110">
        <v>102</v>
      </c>
      <c r="S110" s="30">
        <v>236.78579657846632</v>
      </c>
      <c r="T110" s="30">
        <v>345.20329620773009</v>
      </c>
      <c r="U110" s="30">
        <v>209.22100756901125</v>
      </c>
      <c r="V110" s="30">
        <v>0</v>
      </c>
      <c r="W110" s="30">
        <v>139.65320329556641</v>
      </c>
      <c r="X110" s="30">
        <v>0</v>
      </c>
    </row>
    <row r="111" spans="10:24" x14ac:dyDescent="0.25">
      <c r="J111">
        <v>103</v>
      </c>
      <c r="K111" s="30">
        <v>3413.6473020846825</v>
      </c>
      <c r="L111" s="30">
        <v>2813.8438805990422</v>
      </c>
      <c r="M111" s="30">
        <v>2972.8407579936065</v>
      </c>
      <c r="N111" s="30">
        <v>925.58134270386017</v>
      </c>
      <c r="O111" s="30">
        <v>1740.2358648629279</v>
      </c>
      <c r="P111" s="30">
        <v>-864.30284528786342</v>
      </c>
      <c r="R111">
        <v>103</v>
      </c>
      <c r="S111" s="30">
        <v>323.86863470572638</v>
      </c>
      <c r="T111" s="30">
        <v>259.4132518390785</v>
      </c>
      <c r="U111" s="30">
        <v>85.634615577755312</v>
      </c>
      <c r="V111" s="30">
        <v>0.38046866439651694</v>
      </c>
      <c r="W111" s="30">
        <v>0</v>
      </c>
      <c r="X111" s="30">
        <v>0</v>
      </c>
    </row>
    <row r="112" spans="10:24" x14ac:dyDescent="0.25">
      <c r="J112">
        <v>104</v>
      </c>
      <c r="K112" s="30">
        <v>3004.3648747291327</v>
      </c>
      <c r="L112" s="30">
        <v>2579.2981325862238</v>
      </c>
      <c r="M112" s="30">
        <v>2008.7668287417655</v>
      </c>
      <c r="N112" s="30">
        <v>-1505.6504073528586</v>
      </c>
      <c r="O112" s="30">
        <v>1.0387908713655634</v>
      </c>
      <c r="P112" s="30">
        <v>-1081.0284016998266</v>
      </c>
      <c r="R112">
        <v>104</v>
      </c>
      <c r="S112" s="30">
        <v>160.86865879499834</v>
      </c>
      <c r="T112" s="30">
        <v>309.60026183006653</v>
      </c>
      <c r="U112" s="30">
        <v>69.909563405298968</v>
      </c>
      <c r="V112" s="30">
        <v>12.230932604693407</v>
      </c>
      <c r="W112" s="30">
        <v>0</v>
      </c>
      <c r="X112" s="30">
        <v>0</v>
      </c>
    </row>
    <row r="113" spans="10:24" x14ac:dyDescent="0.25">
      <c r="J113">
        <v>105</v>
      </c>
      <c r="K113" s="30">
        <v>2231.6659774457903</v>
      </c>
      <c r="L113" s="30">
        <v>4156.477632410114</v>
      </c>
      <c r="M113" s="30">
        <v>3253.924094974564</v>
      </c>
      <c r="N113" s="30">
        <v>74.148889944400253</v>
      </c>
      <c r="O113" s="30">
        <v>258.51250652312592</v>
      </c>
      <c r="P113" s="30">
        <v>308.16710309490645</v>
      </c>
      <c r="R113">
        <v>105</v>
      </c>
      <c r="S113" s="30">
        <v>212.36628478802453</v>
      </c>
      <c r="T113" s="30">
        <v>361.54673955162644</v>
      </c>
      <c r="U113" s="30">
        <v>113.7425871710393</v>
      </c>
      <c r="V113" s="30">
        <v>0</v>
      </c>
      <c r="W113" s="30">
        <v>0</v>
      </c>
      <c r="X113" s="30">
        <v>0</v>
      </c>
    </row>
    <row r="114" spans="10:24" x14ac:dyDescent="0.25">
      <c r="J114">
        <v>106</v>
      </c>
      <c r="K114" s="30">
        <v>2958.5322910535997</v>
      </c>
      <c r="L114" s="30">
        <v>2663.2395050232217</v>
      </c>
      <c r="M114" s="30">
        <v>1951.1438700898698</v>
      </c>
      <c r="N114" s="30">
        <v>791.6887681314256</v>
      </c>
      <c r="O114" s="30">
        <v>1308.3629774935007</v>
      </c>
      <c r="P114" s="30">
        <v>-2009.5841883282774</v>
      </c>
      <c r="R114">
        <v>106</v>
      </c>
      <c r="S114" s="30">
        <v>162.42902763402617</v>
      </c>
      <c r="T114" s="30">
        <v>172.26713082830963</v>
      </c>
      <c r="U114" s="30">
        <v>178.6731764887092</v>
      </c>
      <c r="V114" s="30">
        <v>0</v>
      </c>
      <c r="W114" s="30">
        <v>177.29844368382101</v>
      </c>
      <c r="X114" s="30">
        <v>0</v>
      </c>
    </row>
    <row r="115" spans="10:24" x14ac:dyDescent="0.25">
      <c r="J115">
        <v>107</v>
      </c>
      <c r="K115" s="30">
        <v>2581.9496168057231</v>
      </c>
      <c r="L115" s="30">
        <v>4381.6866132260293</v>
      </c>
      <c r="M115" s="30">
        <v>3615.5334905213635</v>
      </c>
      <c r="N115" s="30">
        <v>1731.1611116253289</v>
      </c>
      <c r="O115" s="30">
        <v>1641.9306311499531</v>
      </c>
      <c r="P115" s="30">
        <v>-1094.3548524096041</v>
      </c>
      <c r="R115">
        <v>107</v>
      </c>
      <c r="S115" s="30">
        <v>302.57144331228858</v>
      </c>
      <c r="T115" s="30">
        <v>300.42593483180633</v>
      </c>
      <c r="U115" s="30">
        <v>128.33535876484314</v>
      </c>
      <c r="V115" s="30">
        <v>0</v>
      </c>
      <c r="W115" s="30">
        <v>0</v>
      </c>
      <c r="X115" s="30">
        <v>0</v>
      </c>
    </row>
    <row r="116" spans="10:24" x14ac:dyDescent="0.25">
      <c r="J116">
        <v>108</v>
      </c>
      <c r="K116" s="30">
        <v>3346.2177238335807</v>
      </c>
      <c r="L116" s="30">
        <v>2915.8715326647734</v>
      </c>
      <c r="M116" s="30">
        <v>1996.4982742771044</v>
      </c>
      <c r="N116" s="30">
        <v>806.39176912883795</v>
      </c>
      <c r="O116" s="30">
        <v>1344.7631831008039</v>
      </c>
      <c r="P116" s="30">
        <v>307.58180650470422</v>
      </c>
      <c r="R116">
        <v>108</v>
      </c>
      <c r="S116" s="30">
        <v>204.32364028954669</v>
      </c>
      <c r="T116" s="30">
        <v>215.07396474501536</v>
      </c>
      <c r="U116" s="30">
        <v>163.52011985817063</v>
      </c>
      <c r="V116" s="30">
        <v>14.131162405629766</v>
      </c>
      <c r="W116" s="30">
        <v>0</v>
      </c>
      <c r="X116" s="30">
        <v>0</v>
      </c>
    </row>
    <row r="117" spans="10:24" x14ac:dyDescent="0.25">
      <c r="J117">
        <v>109</v>
      </c>
      <c r="K117" s="30">
        <v>3089.1612178450468</v>
      </c>
      <c r="L117" s="30">
        <v>2226.913569617353</v>
      </c>
      <c r="M117" s="30">
        <v>1898.2737099586807</v>
      </c>
      <c r="N117" s="30">
        <v>-887.9625939598136</v>
      </c>
      <c r="O117" s="30">
        <v>153.18452162993617</v>
      </c>
      <c r="P117" s="30">
        <v>-1033.7314509698654</v>
      </c>
      <c r="R117">
        <v>109</v>
      </c>
      <c r="S117" s="30">
        <v>291.05025914000174</v>
      </c>
      <c r="T117" s="30">
        <v>263.62979120061004</v>
      </c>
      <c r="U117" s="30">
        <v>137.6541600456315</v>
      </c>
      <c r="V117" s="30">
        <v>27.984908542427206</v>
      </c>
      <c r="W117" s="30">
        <v>13.921793901654041</v>
      </c>
      <c r="X117" s="30">
        <v>0</v>
      </c>
    </row>
    <row r="118" spans="10:24" x14ac:dyDescent="0.25">
      <c r="J118">
        <v>110</v>
      </c>
      <c r="K118" s="30">
        <v>2317.5476740179852</v>
      </c>
      <c r="L118" s="30">
        <v>2676.0009892871285</v>
      </c>
      <c r="M118" s="30">
        <v>2446.9881506201182</v>
      </c>
      <c r="N118" s="30">
        <v>-2413.4098540186678</v>
      </c>
      <c r="O118" s="30">
        <v>-321.21645253974111</v>
      </c>
      <c r="P118" s="30">
        <v>-138.3448385436941</v>
      </c>
      <c r="R118">
        <v>110</v>
      </c>
      <c r="S118" s="30">
        <v>292.13951721430578</v>
      </c>
      <c r="T118" s="30">
        <v>176.5305167574636</v>
      </c>
      <c r="U118" s="30">
        <v>127.49071017250048</v>
      </c>
      <c r="V118" s="30">
        <v>46.027864435855463</v>
      </c>
      <c r="W118" s="30">
        <v>168.55267411592149</v>
      </c>
      <c r="X118" s="30">
        <v>0</v>
      </c>
    </row>
    <row r="119" spans="10:24" x14ac:dyDescent="0.25">
      <c r="J119">
        <v>111</v>
      </c>
      <c r="K119" s="30">
        <v>2663.1446177272314</v>
      </c>
      <c r="L119" s="30">
        <v>3560.1166130273227</v>
      </c>
      <c r="M119" s="30">
        <v>3790.9803901828277</v>
      </c>
      <c r="N119" s="30">
        <v>-179.43402248110215</v>
      </c>
      <c r="O119" s="30">
        <v>-642.1539445608887</v>
      </c>
      <c r="P119" s="30">
        <v>-1384.969597956876</v>
      </c>
      <c r="R119">
        <v>111</v>
      </c>
      <c r="S119" s="30">
        <v>379.58373809123378</v>
      </c>
      <c r="T119" s="30">
        <v>289.86693542953481</v>
      </c>
      <c r="U119" s="30">
        <v>165.64612400234336</v>
      </c>
      <c r="V119" s="30">
        <v>19.733734758645596</v>
      </c>
      <c r="W119" s="30">
        <v>87.980931430402052</v>
      </c>
      <c r="X119" s="30">
        <v>0</v>
      </c>
    </row>
    <row r="120" spans="10:24" x14ac:dyDescent="0.25">
      <c r="J120">
        <v>112</v>
      </c>
      <c r="K120" s="30">
        <v>2687.4949535414526</v>
      </c>
      <c r="L120" s="30">
        <v>4209.4903805268632</v>
      </c>
      <c r="M120" s="30">
        <v>3651.6014673337627</v>
      </c>
      <c r="N120" s="30">
        <v>336.20277757693384</v>
      </c>
      <c r="O120" s="30">
        <v>792.94108341082847</v>
      </c>
      <c r="P120" s="30">
        <v>596.05608741097421</v>
      </c>
      <c r="R120">
        <v>112</v>
      </c>
      <c r="S120" s="30">
        <v>283.19034657868167</v>
      </c>
      <c r="T120" s="30">
        <v>350.55000786247882</v>
      </c>
      <c r="U120" s="30">
        <v>114.11034354060268</v>
      </c>
      <c r="V120" s="30">
        <v>0</v>
      </c>
      <c r="W120" s="30">
        <v>0</v>
      </c>
      <c r="X120" s="30">
        <v>0</v>
      </c>
    </row>
    <row r="121" spans="10:24" x14ac:dyDescent="0.25">
      <c r="J121">
        <v>113</v>
      </c>
      <c r="K121" s="30">
        <v>3871.3983686895072</v>
      </c>
      <c r="L121" s="30">
        <v>2053.468491343539</v>
      </c>
      <c r="M121" s="30">
        <v>2025.7152345909844</v>
      </c>
      <c r="N121" s="30">
        <v>1038.2245829747944</v>
      </c>
      <c r="O121" s="30">
        <v>930.9497008807466</v>
      </c>
      <c r="P121" s="30">
        <v>-2096.0331114379223</v>
      </c>
      <c r="R121">
        <v>113</v>
      </c>
      <c r="S121" s="30">
        <v>294.23265391472137</v>
      </c>
      <c r="T121" s="30">
        <v>329.70753946120391</v>
      </c>
      <c r="U121" s="30">
        <v>87.964156292876567</v>
      </c>
      <c r="V121" s="30">
        <v>0</v>
      </c>
      <c r="W121" s="30">
        <v>47.00105006049057</v>
      </c>
      <c r="X121" s="30">
        <v>0</v>
      </c>
    </row>
    <row r="122" spans="10:24" x14ac:dyDescent="0.25">
      <c r="J122">
        <v>114</v>
      </c>
      <c r="K122" s="30">
        <v>4220.1764587050448</v>
      </c>
      <c r="L122" s="30">
        <v>2317.0623996237005</v>
      </c>
      <c r="M122" s="30">
        <v>2279.606232993146</v>
      </c>
      <c r="N122" s="30">
        <v>1111.1833819987114</v>
      </c>
      <c r="O122" s="30">
        <v>2418.7310085141116</v>
      </c>
      <c r="P122" s="30">
        <v>698.75258506510454</v>
      </c>
      <c r="R122">
        <v>114</v>
      </c>
      <c r="S122" s="30">
        <v>296.24552483259441</v>
      </c>
      <c r="T122" s="30">
        <v>345.57476713405981</v>
      </c>
      <c r="U122" s="30">
        <v>121.22337018270019</v>
      </c>
      <c r="V122" s="30">
        <v>0</v>
      </c>
      <c r="W122" s="30">
        <v>12.413194563697402</v>
      </c>
      <c r="X122" s="30">
        <v>0</v>
      </c>
    </row>
    <row r="123" spans="10:24" x14ac:dyDescent="0.25">
      <c r="J123">
        <v>115</v>
      </c>
      <c r="K123" s="30">
        <v>4213.9649717769471</v>
      </c>
      <c r="L123" s="30">
        <v>2555.5720614635584</v>
      </c>
      <c r="M123" s="30">
        <v>2375.4571551119843</v>
      </c>
      <c r="N123" s="30">
        <v>-251.60933310012479</v>
      </c>
      <c r="O123" s="30">
        <v>-1213.0151043617534</v>
      </c>
      <c r="P123" s="30">
        <v>-1888.1982960468385</v>
      </c>
      <c r="R123">
        <v>115</v>
      </c>
      <c r="S123" s="30">
        <v>237.23663211259327</v>
      </c>
      <c r="T123" s="30">
        <v>270.47010345231195</v>
      </c>
      <c r="U123" s="30">
        <v>135.3407860750396</v>
      </c>
      <c r="V123" s="30">
        <v>0</v>
      </c>
      <c r="W123" s="30">
        <v>83.680431919806608</v>
      </c>
      <c r="X123" s="30">
        <v>0</v>
      </c>
    </row>
    <row r="124" spans="10:24" x14ac:dyDescent="0.25">
      <c r="J124">
        <v>116</v>
      </c>
      <c r="K124" s="30">
        <v>3974.8240437502909</v>
      </c>
      <c r="L124" s="30">
        <v>3577.0520802566052</v>
      </c>
      <c r="M124" s="30">
        <v>1470.7378875598133</v>
      </c>
      <c r="N124" s="30">
        <v>1185.2007872212334</v>
      </c>
      <c r="O124" s="30">
        <v>2012.9100897817125</v>
      </c>
      <c r="P124" s="30">
        <v>1599.4822769967213</v>
      </c>
      <c r="R124">
        <v>116</v>
      </c>
      <c r="S124" s="30">
        <v>233.64518638585741</v>
      </c>
      <c r="T124" s="30">
        <v>322.15734370448348</v>
      </c>
      <c r="U124" s="30">
        <v>142.91917929413705</v>
      </c>
      <c r="V124" s="30">
        <v>3.7887590409594623</v>
      </c>
      <c r="W124" s="30">
        <v>0</v>
      </c>
      <c r="X124" s="30">
        <v>0</v>
      </c>
    </row>
    <row r="125" spans="10:24" x14ac:dyDescent="0.25">
      <c r="J125">
        <v>117</v>
      </c>
      <c r="K125" s="30">
        <v>1790.7706092801036</v>
      </c>
      <c r="L125" s="30">
        <v>3029.089999288743</v>
      </c>
      <c r="M125" s="30">
        <v>3649.2638524803388</v>
      </c>
      <c r="N125" s="30">
        <v>-407.61528489179454</v>
      </c>
      <c r="O125" s="30">
        <v>-1293.4368146199286</v>
      </c>
      <c r="P125" s="30">
        <v>-1652.4302497319331</v>
      </c>
      <c r="R125">
        <v>117</v>
      </c>
      <c r="S125" s="30">
        <v>233.60420091221721</v>
      </c>
      <c r="T125" s="30">
        <v>246.70026477968929</v>
      </c>
      <c r="U125" s="30">
        <v>136.32475567448563</v>
      </c>
      <c r="V125" s="30">
        <v>2.4221378853267197</v>
      </c>
      <c r="W125" s="30">
        <v>149.2972918188442</v>
      </c>
      <c r="X125" s="30">
        <v>0</v>
      </c>
    </row>
    <row r="126" spans="10:24" x14ac:dyDescent="0.25">
      <c r="J126">
        <v>118</v>
      </c>
      <c r="K126" s="30">
        <v>2578.2648615047497</v>
      </c>
      <c r="L126" s="30">
        <v>3901.1484483899103</v>
      </c>
      <c r="M126" s="30">
        <v>3795.0296585266551</v>
      </c>
      <c r="N126" s="30">
        <v>979.93897684192234</v>
      </c>
      <c r="O126" s="30">
        <v>2674.5848321949252</v>
      </c>
      <c r="P126" s="30">
        <v>-1146.3192647533679</v>
      </c>
      <c r="R126">
        <v>118</v>
      </c>
      <c r="S126" s="30">
        <v>309.2081339292489</v>
      </c>
      <c r="T126" s="30">
        <v>298.50020737545856</v>
      </c>
      <c r="U126" s="30">
        <v>146.03117631461578</v>
      </c>
      <c r="V126" s="30">
        <v>163.36309078646457</v>
      </c>
      <c r="W126" s="30">
        <v>159.76917747815287</v>
      </c>
      <c r="X126" s="30">
        <v>0</v>
      </c>
    </row>
    <row r="127" spans="10:24" x14ac:dyDescent="0.25">
      <c r="J127">
        <v>119</v>
      </c>
      <c r="K127" s="30">
        <v>1770.7634470259691</v>
      </c>
      <c r="L127" s="30">
        <v>4538.3072631250516</v>
      </c>
      <c r="M127" s="30">
        <v>3222.5380497975457</v>
      </c>
      <c r="N127" s="30">
        <v>2068.6146086701483</v>
      </c>
      <c r="O127" s="30">
        <v>-1180.3559362678898</v>
      </c>
      <c r="P127" s="30">
        <v>-2407.3833787860331</v>
      </c>
      <c r="R127">
        <v>119</v>
      </c>
      <c r="S127" s="30">
        <v>203.68587048798696</v>
      </c>
      <c r="T127" s="30">
        <v>284.9279043862341</v>
      </c>
      <c r="U127" s="30">
        <v>50.091301459564477</v>
      </c>
      <c r="V127" s="30">
        <v>0</v>
      </c>
      <c r="W127" s="30">
        <v>83.652174590672303</v>
      </c>
      <c r="X127" s="30">
        <v>0</v>
      </c>
    </row>
    <row r="128" spans="10:24" x14ac:dyDescent="0.25">
      <c r="J128">
        <v>120</v>
      </c>
      <c r="K128" s="30">
        <v>2988.0417821957367</v>
      </c>
      <c r="L128" s="30">
        <v>3872.9324975737031</v>
      </c>
      <c r="M128" s="30">
        <v>1807.8551196778171</v>
      </c>
      <c r="N128" s="30">
        <v>1156.4387482883867</v>
      </c>
      <c r="O128" s="30">
        <v>996.06600977514154</v>
      </c>
      <c r="P128" s="30">
        <v>-511.63124783102467</v>
      </c>
      <c r="R128">
        <v>120</v>
      </c>
      <c r="S128" s="30">
        <v>227.60517595801957</v>
      </c>
      <c r="T128" s="30">
        <v>280.85423185797742</v>
      </c>
      <c r="U128" s="30">
        <v>121.29077861173903</v>
      </c>
      <c r="V128" s="30">
        <v>33.336212397942177</v>
      </c>
      <c r="W128" s="30">
        <v>136.37581044292301</v>
      </c>
      <c r="X128" s="30">
        <v>0</v>
      </c>
    </row>
    <row r="129" spans="10:24" x14ac:dyDescent="0.25">
      <c r="J129">
        <v>121</v>
      </c>
      <c r="K129" s="30">
        <v>2891.8176926504398</v>
      </c>
      <c r="L129" s="30">
        <v>4423.9810760581695</v>
      </c>
      <c r="M129" s="30">
        <v>3260.8810477426837</v>
      </c>
      <c r="N129" s="30">
        <v>1550.3559963061052</v>
      </c>
      <c r="O129" s="30">
        <v>-1027.8187836463876</v>
      </c>
      <c r="P129" s="30">
        <v>-1815.146310859539</v>
      </c>
      <c r="R129">
        <v>121</v>
      </c>
      <c r="S129" s="30">
        <v>250.84121406514737</v>
      </c>
      <c r="T129" s="30">
        <v>392.05458996695677</v>
      </c>
      <c r="U129" s="30">
        <v>101.22190233825802</v>
      </c>
      <c r="V129" s="30">
        <v>50.851062040908801</v>
      </c>
      <c r="W129" s="30">
        <v>0</v>
      </c>
      <c r="X129" s="30">
        <v>0</v>
      </c>
    </row>
    <row r="130" spans="10:24" x14ac:dyDescent="0.25">
      <c r="J130">
        <v>122</v>
      </c>
      <c r="K130" s="30">
        <v>2777.4023315694058</v>
      </c>
      <c r="L130" s="30">
        <v>3850.8588318013362</v>
      </c>
      <c r="M130" s="30">
        <v>2942.0710885582284</v>
      </c>
      <c r="N130" s="30">
        <v>300.3897093494661</v>
      </c>
      <c r="O130" s="30">
        <v>3380.6542750759854</v>
      </c>
      <c r="P130" s="30">
        <v>-2212.9008779648666</v>
      </c>
      <c r="R130">
        <v>122</v>
      </c>
      <c r="S130" s="30">
        <v>327.86808986757467</v>
      </c>
      <c r="T130" s="30">
        <v>236.4325403943601</v>
      </c>
      <c r="U130" s="30">
        <v>263.39138872320103</v>
      </c>
      <c r="V130" s="30">
        <v>46.176772445841834</v>
      </c>
      <c r="W130" s="30">
        <v>50.722823576058317</v>
      </c>
      <c r="X130" s="30">
        <v>0</v>
      </c>
    </row>
    <row r="131" spans="10:24" x14ac:dyDescent="0.25">
      <c r="J131">
        <v>123</v>
      </c>
      <c r="K131" s="30">
        <v>3041.4379067096615</v>
      </c>
      <c r="L131" s="30">
        <v>2902.8082406414819</v>
      </c>
      <c r="M131" s="30">
        <v>3466.1870140433066</v>
      </c>
      <c r="N131" s="30">
        <v>2455.418194553069</v>
      </c>
      <c r="O131" s="30">
        <v>1028.9962638177694</v>
      </c>
      <c r="P131" s="30">
        <v>-562.39663418604323</v>
      </c>
      <c r="R131">
        <v>123</v>
      </c>
      <c r="S131" s="30">
        <v>171.50199273944924</v>
      </c>
      <c r="T131" s="30">
        <v>397.0552456193202</v>
      </c>
      <c r="U131" s="30">
        <v>265.05830424757909</v>
      </c>
      <c r="V131" s="30">
        <v>71.815783460571993</v>
      </c>
      <c r="W131" s="30">
        <v>16.532965855159318</v>
      </c>
      <c r="X131" s="30">
        <v>0</v>
      </c>
    </row>
    <row r="132" spans="10:24" x14ac:dyDescent="0.25">
      <c r="J132">
        <v>124</v>
      </c>
      <c r="K132" s="30">
        <v>2895.2431049434445</v>
      </c>
      <c r="L132" s="30">
        <v>3064.3248912936542</v>
      </c>
      <c r="M132" s="30">
        <v>1968.0812875003762</v>
      </c>
      <c r="N132" s="30">
        <v>-477.56589016472208</v>
      </c>
      <c r="O132" s="30">
        <v>1851.083304743488</v>
      </c>
      <c r="P132" s="30">
        <v>612.14812113346215</v>
      </c>
      <c r="R132">
        <v>124</v>
      </c>
      <c r="S132" s="30">
        <v>197.53047740544804</v>
      </c>
      <c r="T132" s="30">
        <v>244.59846590660055</v>
      </c>
      <c r="U132" s="30">
        <v>130.1074984725654</v>
      </c>
      <c r="V132" s="30">
        <v>0</v>
      </c>
      <c r="W132" s="30">
        <v>0</v>
      </c>
      <c r="X132" s="30">
        <v>0</v>
      </c>
    </row>
    <row r="133" spans="10:24" x14ac:dyDescent="0.25">
      <c r="J133">
        <v>125</v>
      </c>
      <c r="K133" s="30">
        <v>2112.1644057438803</v>
      </c>
      <c r="L133" s="30">
        <v>2581.4111106032155</v>
      </c>
      <c r="M133" s="30">
        <v>3133.7648340085225</v>
      </c>
      <c r="N133" s="30">
        <v>1961.840431175312</v>
      </c>
      <c r="O133" s="30">
        <v>1427.5966492039206</v>
      </c>
      <c r="P133" s="30">
        <v>290.38492276966099</v>
      </c>
      <c r="R133">
        <v>125</v>
      </c>
      <c r="S133" s="30">
        <v>245.982052995831</v>
      </c>
      <c r="T133" s="30">
        <v>250.60777046293316</v>
      </c>
      <c r="U133" s="30">
        <v>152.86805017677415</v>
      </c>
      <c r="V133" s="30">
        <v>12.976918239128054</v>
      </c>
      <c r="W133" s="30">
        <v>0</v>
      </c>
      <c r="X133" s="30">
        <v>0</v>
      </c>
    </row>
    <row r="134" spans="10:24" x14ac:dyDescent="0.25">
      <c r="J134">
        <v>126</v>
      </c>
      <c r="K134" s="30">
        <v>3702.3521748236785</v>
      </c>
      <c r="L134" s="30">
        <v>2888.5630630076148</v>
      </c>
      <c r="M134" s="30">
        <v>1940.2966131549028</v>
      </c>
      <c r="N134" s="30">
        <v>-494.21047992423155</v>
      </c>
      <c r="O134" s="30">
        <v>304.5490426542392</v>
      </c>
      <c r="P134" s="30">
        <v>-441.55966116962827</v>
      </c>
      <c r="R134">
        <v>126</v>
      </c>
      <c r="S134" s="30">
        <v>272.23829351047243</v>
      </c>
      <c r="T134" s="30">
        <v>222.88975326621517</v>
      </c>
      <c r="U134" s="30">
        <v>179.72780826739978</v>
      </c>
      <c r="V134" s="30">
        <v>0</v>
      </c>
      <c r="W134" s="30">
        <v>0</v>
      </c>
      <c r="X134" s="30">
        <v>0</v>
      </c>
    </row>
    <row r="135" spans="10:24" x14ac:dyDescent="0.25">
      <c r="J135">
        <v>127</v>
      </c>
      <c r="K135" s="30">
        <v>2579.2600814415591</v>
      </c>
      <c r="L135" s="30">
        <v>3938.8623193750786</v>
      </c>
      <c r="M135" s="30">
        <v>2899.8863652514965</v>
      </c>
      <c r="N135" s="30">
        <v>-1371.8103062619948</v>
      </c>
      <c r="O135" s="30">
        <v>352.29889283613556</v>
      </c>
      <c r="P135" s="30">
        <v>-2062.1084705551502</v>
      </c>
      <c r="R135">
        <v>127</v>
      </c>
      <c r="S135" s="30">
        <v>194.09823545428577</v>
      </c>
      <c r="T135" s="30">
        <v>376.78921001617647</v>
      </c>
      <c r="U135" s="30">
        <v>136.62235483859791</v>
      </c>
      <c r="V135" s="30">
        <v>46.209295789622388</v>
      </c>
      <c r="W135" s="30">
        <v>0</v>
      </c>
      <c r="X135" s="30">
        <v>0</v>
      </c>
    </row>
    <row r="136" spans="10:24" x14ac:dyDescent="0.25">
      <c r="J136">
        <v>128</v>
      </c>
      <c r="K136" s="30">
        <v>2017.5377692421484</v>
      </c>
      <c r="L136" s="30">
        <v>2358.406268253596</v>
      </c>
      <c r="M136" s="30">
        <v>2433.0380225241138</v>
      </c>
      <c r="N136" s="30">
        <v>310.03979135141344</v>
      </c>
      <c r="O136" s="30">
        <v>1055.4867852311063</v>
      </c>
      <c r="P136" s="30">
        <v>2815.8957450007319</v>
      </c>
      <c r="R136">
        <v>128</v>
      </c>
      <c r="S136" s="30">
        <v>295.05971000412376</v>
      </c>
      <c r="T136" s="30">
        <v>193.37269458829218</v>
      </c>
      <c r="U136" s="30">
        <v>210.40364459811761</v>
      </c>
      <c r="V136" s="30">
        <v>0</v>
      </c>
      <c r="W136" s="30">
        <v>0</v>
      </c>
      <c r="X136" s="30">
        <v>0</v>
      </c>
    </row>
    <row r="137" spans="10:24" x14ac:dyDescent="0.25">
      <c r="J137">
        <v>129</v>
      </c>
      <c r="K137" s="30">
        <v>3477.3601146065707</v>
      </c>
      <c r="L137" s="30">
        <v>2804.9595213352263</v>
      </c>
      <c r="M137" s="30">
        <v>3984.143938717652</v>
      </c>
      <c r="N137" s="30">
        <v>-759.38366379491799</v>
      </c>
      <c r="O137" s="30">
        <v>-416.04422214309034</v>
      </c>
      <c r="P137" s="30">
        <v>-2360.7404432390476</v>
      </c>
      <c r="R137">
        <v>129</v>
      </c>
      <c r="S137" s="30">
        <v>261.27062011262842</v>
      </c>
      <c r="T137" s="30">
        <v>299.07150135273156</v>
      </c>
      <c r="U137" s="30">
        <v>220.69756522339463</v>
      </c>
      <c r="V137" s="30">
        <v>0</v>
      </c>
      <c r="W137" s="30">
        <v>110.67358462377382</v>
      </c>
      <c r="X137" s="30">
        <v>0</v>
      </c>
    </row>
    <row r="138" spans="10:24" x14ac:dyDescent="0.25">
      <c r="J138">
        <v>130</v>
      </c>
      <c r="K138" s="30">
        <v>1913.8812372139996</v>
      </c>
      <c r="L138" s="30">
        <v>2387.7510738598166</v>
      </c>
      <c r="M138" s="30">
        <v>3050.0599109889476</v>
      </c>
      <c r="N138" s="30">
        <v>295.54531779498575</v>
      </c>
      <c r="O138" s="30">
        <v>2519.854332497107</v>
      </c>
      <c r="P138" s="30">
        <v>-31.445750380153186</v>
      </c>
      <c r="R138">
        <v>130</v>
      </c>
      <c r="S138" s="30">
        <v>234.45704013528831</v>
      </c>
      <c r="T138" s="30">
        <v>241.62258630115048</v>
      </c>
      <c r="U138" s="30">
        <v>275.94148229785674</v>
      </c>
      <c r="V138" s="30">
        <v>0</v>
      </c>
      <c r="W138" s="30">
        <v>0</v>
      </c>
      <c r="X138" s="30">
        <v>0</v>
      </c>
    </row>
    <row r="139" spans="10:24" x14ac:dyDescent="0.25">
      <c r="J139">
        <v>131</v>
      </c>
      <c r="K139" s="30">
        <v>4281.2874876900696</v>
      </c>
      <c r="L139" s="30">
        <v>2453.7359929659951</v>
      </c>
      <c r="M139" s="30">
        <v>3488.0663013994563</v>
      </c>
      <c r="N139" s="30">
        <v>533.56707090405598</v>
      </c>
      <c r="O139" s="30">
        <v>2804.9323610911179</v>
      </c>
      <c r="P139" s="30">
        <v>-562.98911778583442</v>
      </c>
      <c r="R139">
        <v>131</v>
      </c>
      <c r="S139" s="30">
        <v>312.43997200002804</v>
      </c>
      <c r="T139" s="30">
        <v>226.35703318287676</v>
      </c>
      <c r="U139" s="30">
        <v>91.735299905100476</v>
      </c>
      <c r="V139" s="30">
        <v>0</v>
      </c>
      <c r="W139" s="30">
        <v>0</v>
      </c>
      <c r="X139" s="30">
        <v>0</v>
      </c>
    </row>
    <row r="140" spans="10:24" x14ac:dyDescent="0.25">
      <c r="J140">
        <v>132</v>
      </c>
      <c r="K140" s="30">
        <v>2744.5790471649234</v>
      </c>
      <c r="L140" s="30">
        <v>3827.0777353928092</v>
      </c>
      <c r="M140" s="30">
        <v>2639.7923263392017</v>
      </c>
      <c r="N140" s="30">
        <v>104.33072569201613</v>
      </c>
      <c r="O140" s="30">
        <v>447.30182925658391</v>
      </c>
      <c r="P140" s="30">
        <v>-1412.3685105086424</v>
      </c>
      <c r="R140">
        <v>132</v>
      </c>
      <c r="S140" s="30">
        <v>193.38823237511048</v>
      </c>
      <c r="T140" s="30">
        <v>238.14564447028306</v>
      </c>
      <c r="U140" s="30">
        <v>74.484515629678924</v>
      </c>
      <c r="V140" s="30">
        <v>0</v>
      </c>
      <c r="W140" s="30">
        <v>0</v>
      </c>
      <c r="X140" s="30">
        <v>0</v>
      </c>
    </row>
    <row r="141" spans="10:24" x14ac:dyDescent="0.25">
      <c r="J141">
        <v>133</v>
      </c>
      <c r="K141" s="30">
        <v>2099.9063236524321</v>
      </c>
      <c r="L141" s="30">
        <v>3314.8843241591799</v>
      </c>
      <c r="M141" s="30">
        <v>2527.9791767584893</v>
      </c>
      <c r="N141" s="30">
        <v>-1316.0399068912457</v>
      </c>
      <c r="O141" s="30">
        <v>-155.55068659512654</v>
      </c>
      <c r="P141" s="30">
        <v>-1105.7936424445352</v>
      </c>
      <c r="R141">
        <v>133</v>
      </c>
      <c r="S141" s="30">
        <v>334.80556547998196</v>
      </c>
      <c r="T141" s="30">
        <v>231.44551610127036</v>
      </c>
      <c r="U141" s="30">
        <v>119.94939569113876</v>
      </c>
      <c r="V141" s="30">
        <v>19.399862183053415</v>
      </c>
      <c r="W141" s="30">
        <v>0</v>
      </c>
      <c r="X141" s="30">
        <v>0</v>
      </c>
    </row>
    <row r="142" spans="10:24" x14ac:dyDescent="0.25">
      <c r="J142">
        <v>134</v>
      </c>
      <c r="K142" s="30">
        <v>4126.8987094465201</v>
      </c>
      <c r="L142" s="30">
        <v>2169.1726250562324</v>
      </c>
      <c r="M142" s="30">
        <v>1705.5353782003649</v>
      </c>
      <c r="N142" s="30">
        <v>1422.24310190906</v>
      </c>
      <c r="O142" s="30">
        <v>1406.426487220273</v>
      </c>
      <c r="P142" s="30">
        <v>480.98858661850954</v>
      </c>
      <c r="R142">
        <v>134</v>
      </c>
      <c r="S142" s="30">
        <v>237.86459741358755</v>
      </c>
      <c r="T142" s="30">
        <v>285.69671254428482</v>
      </c>
      <c r="U142" s="30">
        <v>132.30528577003116</v>
      </c>
      <c r="V142" s="30">
        <v>0</v>
      </c>
      <c r="W142" s="30">
        <v>0</v>
      </c>
      <c r="X142" s="30">
        <v>0</v>
      </c>
    </row>
    <row r="143" spans="10:24" x14ac:dyDescent="0.25">
      <c r="J143">
        <v>135</v>
      </c>
      <c r="K143" s="30">
        <v>3854.6117760748384</v>
      </c>
      <c r="L143" s="30">
        <v>3075.4642650419578</v>
      </c>
      <c r="M143" s="30">
        <v>2238.1780686480611</v>
      </c>
      <c r="N143" s="30">
        <v>1552.7725405951214</v>
      </c>
      <c r="O143" s="30">
        <v>3236.9829188113863</v>
      </c>
      <c r="P143" s="30">
        <v>31.677122213598523</v>
      </c>
      <c r="R143">
        <v>135</v>
      </c>
      <c r="S143" s="30">
        <v>130.93907834537055</v>
      </c>
      <c r="T143" s="30">
        <v>361.12548851960122</v>
      </c>
      <c r="U143" s="30">
        <v>173.12715141362384</v>
      </c>
      <c r="V143" s="30">
        <v>0</v>
      </c>
      <c r="W143" s="30">
        <v>0</v>
      </c>
      <c r="X143" s="30">
        <v>0</v>
      </c>
    </row>
    <row r="144" spans="10:24" x14ac:dyDescent="0.25">
      <c r="J144">
        <v>136</v>
      </c>
      <c r="K144" s="30">
        <v>4043.9071629962891</v>
      </c>
      <c r="L144" s="30">
        <v>3237.6656951218056</v>
      </c>
      <c r="M144" s="30">
        <v>3705.6794348856752</v>
      </c>
      <c r="N144" s="30">
        <v>-522.68884205124414</v>
      </c>
      <c r="O144" s="30">
        <v>483.68649603125778</v>
      </c>
      <c r="P144" s="30">
        <v>-169.63240971054347</v>
      </c>
      <c r="R144">
        <v>136</v>
      </c>
      <c r="S144" s="30">
        <v>310.83526307891333</v>
      </c>
      <c r="T144" s="30">
        <v>411.06758612091704</v>
      </c>
      <c r="U144" s="30">
        <v>164.65843598164417</v>
      </c>
      <c r="V144" s="30">
        <v>0</v>
      </c>
      <c r="W144" s="30">
        <v>199.42871063748959</v>
      </c>
      <c r="X144" s="30">
        <v>0</v>
      </c>
    </row>
    <row r="145" spans="10:24" x14ac:dyDescent="0.25">
      <c r="J145">
        <v>137</v>
      </c>
      <c r="K145" s="30">
        <v>2586.8656316212719</v>
      </c>
      <c r="L145" s="30">
        <v>2805.3356991576438</v>
      </c>
      <c r="M145" s="30">
        <v>1987.9669650098576</v>
      </c>
      <c r="N145" s="30">
        <v>62.835915248751917</v>
      </c>
      <c r="O145" s="30">
        <v>1515.4185183117488</v>
      </c>
      <c r="P145" s="30">
        <v>1266.3621301281382</v>
      </c>
      <c r="R145">
        <v>137</v>
      </c>
      <c r="S145" s="30">
        <v>162.44277625341289</v>
      </c>
      <c r="T145" s="30">
        <v>310.83560695895414</v>
      </c>
      <c r="U145" s="30">
        <v>132.02459616848438</v>
      </c>
      <c r="V145" s="30">
        <v>118.39933041951883</v>
      </c>
      <c r="W145" s="30">
        <v>0</v>
      </c>
      <c r="X145" s="30">
        <v>0</v>
      </c>
    </row>
    <row r="146" spans="10:24" x14ac:dyDescent="0.25">
      <c r="J146">
        <v>138</v>
      </c>
      <c r="K146" s="30">
        <v>2562.7766289480651</v>
      </c>
      <c r="L146" s="30">
        <v>2766.9471605451381</v>
      </c>
      <c r="M146" s="30">
        <v>3497.5282931744164</v>
      </c>
      <c r="N146" s="30">
        <v>92.006619182380746</v>
      </c>
      <c r="O146" s="30">
        <v>1376.9147208399754</v>
      </c>
      <c r="P146" s="30">
        <v>1186.5548590535636</v>
      </c>
      <c r="R146">
        <v>138</v>
      </c>
      <c r="S146" s="30">
        <v>268.12051798887012</v>
      </c>
      <c r="T146" s="30">
        <v>316.41013459707807</v>
      </c>
      <c r="U146" s="30">
        <v>243.39218218401703</v>
      </c>
      <c r="V146" s="30">
        <v>0</v>
      </c>
      <c r="W146" s="30">
        <v>0</v>
      </c>
      <c r="X146" s="30">
        <v>0</v>
      </c>
    </row>
    <row r="147" spans="10:24" x14ac:dyDescent="0.25">
      <c r="J147">
        <v>139</v>
      </c>
      <c r="K147" s="30">
        <v>4086.7921671347835</v>
      </c>
      <c r="L147" s="30">
        <v>1910.1132720954406</v>
      </c>
      <c r="M147" s="30">
        <v>3661.0503957464421</v>
      </c>
      <c r="N147" s="30">
        <v>-133.13810840741735</v>
      </c>
      <c r="O147" s="30">
        <v>1962.9820093217995</v>
      </c>
      <c r="P147" s="30">
        <v>278.28955387423866</v>
      </c>
      <c r="R147">
        <v>139</v>
      </c>
      <c r="S147" s="30">
        <v>201.83320750863271</v>
      </c>
      <c r="T147" s="30">
        <v>189.9910097600112</v>
      </c>
      <c r="U147" s="30">
        <v>155.94902844167575</v>
      </c>
      <c r="V147" s="30">
        <v>0</v>
      </c>
      <c r="W147" s="30">
        <v>0</v>
      </c>
      <c r="X147" s="30">
        <v>0</v>
      </c>
    </row>
    <row r="148" spans="10:24" x14ac:dyDescent="0.25">
      <c r="J148">
        <v>140</v>
      </c>
      <c r="K148" s="30">
        <v>4185.2004083197808</v>
      </c>
      <c r="L148" s="30">
        <v>2532.2198301350277</v>
      </c>
      <c r="M148" s="30">
        <v>2218.9555755906072</v>
      </c>
      <c r="N148" s="30">
        <v>886.09627429239117</v>
      </c>
      <c r="O148" s="30">
        <v>2705.5533478418665</v>
      </c>
      <c r="P148" s="30">
        <v>1930.1886231076287</v>
      </c>
      <c r="R148">
        <v>140</v>
      </c>
      <c r="S148" s="30">
        <v>231.23638781258592</v>
      </c>
      <c r="T148" s="30">
        <v>275.92050116216473</v>
      </c>
      <c r="U148" s="30">
        <v>237.51157590771629</v>
      </c>
      <c r="V148" s="30">
        <v>0</v>
      </c>
      <c r="W148" s="30">
        <v>0</v>
      </c>
      <c r="X148" s="30">
        <v>0</v>
      </c>
    </row>
    <row r="149" spans="10:24" x14ac:dyDescent="0.25">
      <c r="J149">
        <v>141</v>
      </c>
      <c r="K149" s="30">
        <v>2901.5438443262883</v>
      </c>
      <c r="L149" s="30">
        <v>2938.6750439092634</v>
      </c>
      <c r="M149" s="30">
        <v>1583.0535718755909</v>
      </c>
      <c r="N149" s="30">
        <v>1128.2783763555817</v>
      </c>
      <c r="O149" s="30">
        <v>123.0468065723062</v>
      </c>
      <c r="P149" s="30">
        <v>12.688839720068245</v>
      </c>
      <c r="R149">
        <v>141</v>
      </c>
      <c r="S149" s="30">
        <v>314.46517901372073</v>
      </c>
      <c r="T149" s="30">
        <v>333.63480513363209</v>
      </c>
      <c r="U149" s="30">
        <v>205.89414328461595</v>
      </c>
      <c r="V149" s="30">
        <v>0</v>
      </c>
      <c r="W149" s="30">
        <v>0</v>
      </c>
      <c r="X149" s="30">
        <v>0</v>
      </c>
    </row>
    <row r="150" spans="10:24" x14ac:dyDescent="0.25">
      <c r="J150">
        <v>142</v>
      </c>
      <c r="K150" s="30">
        <v>4114.7002436786861</v>
      </c>
      <c r="L150" s="30">
        <v>2285.5067214057581</v>
      </c>
      <c r="M150" s="30">
        <v>2368.8995618588606</v>
      </c>
      <c r="N150" s="30">
        <v>2263.7744985705049</v>
      </c>
      <c r="O150" s="30">
        <v>702.11442714643363</v>
      </c>
      <c r="P150" s="30">
        <v>1610.2392140705069</v>
      </c>
      <c r="R150">
        <v>142</v>
      </c>
      <c r="S150" s="30">
        <v>166.87268499505916</v>
      </c>
      <c r="T150" s="30">
        <v>119.63509792814455</v>
      </c>
      <c r="U150" s="30">
        <v>135.52299327494973</v>
      </c>
      <c r="V150" s="30">
        <v>0</v>
      </c>
      <c r="W150" s="30">
        <v>233.99778920871353</v>
      </c>
      <c r="X150" s="30">
        <v>0</v>
      </c>
    </row>
    <row r="151" spans="10:24" x14ac:dyDescent="0.25">
      <c r="J151">
        <v>143</v>
      </c>
      <c r="K151" s="30">
        <v>3983.302018100962</v>
      </c>
      <c r="L151" s="30">
        <v>4085.2810957629063</v>
      </c>
      <c r="M151" s="30">
        <v>1977.9295163990037</v>
      </c>
      <c r="N151" s="30">
        <v>835.44860686015272</v>
      </c>
      <c r="O151" s="30">
        <v>730.9577680223374</v>
      </c>
      <c r="P151" s="30">
        <v>256.53217238079469</v>
      </c>
      <c r="R151">
        <v>143</v>
      </c>
      <c r="S151" s="30">
        <v>333.1926060520459</v>
      </c>
      <c r="T151" s="30">
        <v>321.40348216091326</v>
      </c>
      <c r="U151" s="30">
        <v>99.79168336261904</v>
      </c>
      <c r="V151" s="30">
        <v>43.333271703236505</v>
      </c>
      <c r="W151" s="30">
        <v>145.02710533273739</v>
      </c>
      <c r="X151" s="30">
        <v>0</v>
      </c>
    </row>
    <row r="152" spans="10:24" x14ac:dyDescent="0.25">
      <c r="J152">
        <v>144</v>
      </c>
      <c r="K152" s="30">
        <v>2527.2317490039795</v>
      </c>
      <c r="L152" s="30">
        <v>2847.7516460837201</v>
      </c>
      <c r="M152" s="30">
        <v>1569.6104840946377</v>
      </c>
      <c r="N152" s="30">
        <v>-24.988163996053117</v>
      </c>
      <c r="O152" s="30">
        <v>2474.0666411182774</v>
      </c>
      <c r="P152" s="30">
        <v>-2950.9223463125945</v>
      </c>
      <c r="R152">
        <v>144</v>
      </c>
      <c r="S152" s="30">
        <v>153.13596995186936</v>
      </c>
      <c r="T152" s="30">
        <v>343.78067728843325</v>
      </c>
      <c r="U152" s="30">
        <v>200.93364754758818</v>
      </c>
      <c r="V152" s="30">
        <v>109.93642283930086</v>
      </c>
      <c r="W152" s="30">
        <v>27.686448197082655</v>
      </c>
      <c r="X152" s="30">
        <v>0</v>
      </c>
    </row>
    <row r="153" spans="10:24" x14ac:dyDescent="0.25">
      <c r="J153">
        <v>145</v>
      </c>
      <c r="K153" s="30">
        <v>3712.5074570809393</v>
      </c>
      <c r="L153" s="30">
        <v>2822.1888436799927</v>
      </c>
      <c r="M153" s="30">
        <v>2634.4871925875364</v>
      </c>
      <c r="N153" s="30">
        <v>-636.06523554152864</v>
      </c>
      <c r="O153" s="30">
        <v>581.96914943792672</v>
      </c>
      <c r="P153" s="30">
        <v>-2742.2541920320718</v>
      </c>
      <c r="R153">
        <v>145</v>
      </c>
      <c r="S153" s="30">
        <v>207.43619822112078</v>
      </c>
      <c r="T153" s="30">
        <v>278.30437268412606</v>
      </c>
      <c r="U153" s="30">
        <v>199.87356637010777</v>
      </c>
      <c r="V153" s="30">
        <v>3.4123366678593356</v>
      </c>
      <c r="W153" s="30">
        <v>0</v>
      </c>
      <c r="X153" s="30">
        <v>0</v>
      </c>
    </row>
    <row r="154" spans="10:24" x14ac:dyDescent="0.25">
      <c r="J154">
        <v>146</v>
      </c>
      <c r="K154" s="30">
        <v>3627.5544139853064</v>
      </c>
      <c r="L154" s="30">
        <v>2858.9436507274868</v>
      </c>
      <c r="M154" s="30">
        <v>2228.4569929855725</v>
      </c>
      <c r="N154" s="30">
        <v>1437.4857915056191</v>
      </c>
      <c r="O154" s="30">
        <v>2723.1503751536047</v>
      </c>
      <c r="P154" s="30">
        <v>-314.1127053913151</v>
      </c>
      <c r="R154">
        <v>146</v>
      </c>
      <c r="S154" s="30">
        <v>176.60363052576292</v>
      </c>
      <c r="T154" s="30">
        <v>302.84059109505534</v>
      </c>
      <c r="U154" s="30">
        <v>237.64280941185109</v>
      </c>
      <c r="V154" s="30">
        <v>0</v>
      </c>
      <c r="W154" s="30">
        <v>0</v>
      </c>
      <c r="X154" s="30">
        <v>0</v>
      </c>
    </row>
    <row r="155" spans="10:24" x14ac:dyDescent="0.25">
      <c r="J155">
        <v>147</v>
      </c>
      <c r="K155" s="30">
        <v>3867.4329710824909</v>
      </c>
      <c r="L155" s="30">
        <v>2452.9233407313932</v>
      </c>
      <c r="M155" s="30">
        <v>3666.6924289976505</v>
      </c>
      <c r="N155" s="30">
        <v>-201.11343703622151</v>
      </c>
      <c r="O155" s="30">
        <v>4350.4004628022121</v>
      </c>
      <c r="P155" s="30">
        <v>-530.72966747931605</v>
      </c>
      <c r="R155">
        <v>147</v>
      </c>
      <c r="S155" s="30">
        <v>84.422334131498985</v>
      </c>
      <c r="T155" s="30">
        <v>283.94270686609116</v>
      </c>
      <c r="U155" s="30">
        <v>289.35503513842303</v>
      </c>
      <c r="V155" s="30">
        <v>0</v>
      </c>
      <c r="W155" s="30">
        <v>14.869969989344099</v>
      </c>
      <c r="X155" s="30">
        <v>0</v>
      </c>
    </row>
    <row r="156" spans="10:24" x14ac:dyDescent="0.25">
      <c r="J156">
        <v>148</v>
      </c>
      <c r="K156" s="30">
        <v>1590.5742967084889</v>
      </c>
      <c r="L156" s="30">
        <v>2679.0269709057952</v>
      </c>
      <c r="M156" s="30">
        <v>3655.4880872131089</v>
      </c>
      <c r="N156" s="30">
        <v>529.7092548801802</v>
      </c>
      <c r="O156" s="30">
        <v>2166.7729291272872</v>
      </c>
      <c r="P156" s="30">
        <v>-77.238300015064851</v>
      </c>
      <c r="R156">
        <v>148</v>
      </c>
      <c r="S156" s="30">
        <v>197.40174644914799</v>
      </c>
      <c r="T156" s="30">
        <v>200.36596560209949</v>
      </c>
      <c r="U156" s="30">
        <v>200.13062362872907</v>
      </c>
      <c r="V156" s="30">
        <v>0</v>
      </c>
      <c r="W156" s="30">
        <v>0</v>
      </c>
      <c r="X156" s="30">
        <v>0</v>
      </c>
    </row>
    <row r="157" spans="10:24" x14ac:dyDescent="0.25">
      <c r="J157">
        <v>149</v>
      </c>
      <c r="K157" s="30">
        <v>2517.5005842811429</v>
      </c>
      <c r="L157" s="30">
        <v>2427.4115459154236</v>
      </c>
      <c r="M157" s="30">
        <v>2399.5531802310661</v>
      </c>
      <c r="N157" s="30">
        <v>1626.3571757529107</v>
      </c>
      <c r="O157" s="30">
        <v>-255.03213223102193</v>
      </c>
      <c r="P157" s="30">
        <v>1107.9677425666687</v>
      </c>
      <c r="R157">
        <v>149</v>
      </c>
      <c r="S157" s="30">
        <v>209.11045769456098</v>
      </c>
      <c r="T157" s="30">
        <v>183.20656948877519</v>
      </c>
      <c r="U157" s="30">
        <v>144.1708249419496</v>
      </c>
      <c r="V157" s="30">
        <v>39.292872420062508</v>
      </c>
      <c r="W157" s="30">
        <v>36.519857911759118</v>
      </c>
      <c r="X157" s="30">
        <v>0</v>
      </c>
    </row>
    <row r="158" spans="10:24" x14ac:dyDescent="0.25">
      <c r="J158">
        <v>150</v>
      </c>
      <c r="K158" s="30">
        <v>3049.8754402519248</v>
      </c>
      <c r="L158" s="30">
        <v>2685.5975244228512</v>
      </c>
      <c r="M158" s="30">
        <v>3294.4939029018028</v>
      </c>
      <c r="N158" s="30">
        <v>228.23114034938044</v>
      </c>
      <c r="O158" s="30">
        <v>3473.2048552984443</v>
      </c>
      <c r="P158" s="30">
        <v>952.57611695899686</v>
      </c>
      <c r="R158">
        <v>150</v>
      </c>
      <c r="S158" s="30">
        <v>308.95943329996902</v>
      </c>
      <c r="T158" s="30">
        <v>190.07400248504501</v>
      </c>
      <c r="U158" s="30">
        <v>178.72998111425187</v>
      </c>
      <c r="V158" s="30">
        <v>0</v>
      </c>
      <c r="W158" s="30">
        <v>0</v>
      </c>
      <c r="X158" s="30">
        <v>0</v>
      </c>
    </row>
    <row r="159" spans="10:24" x14ac:dyDescent="0.25">
      <c r="J159">
        <v>151</v>
      </c>
      <c r="K159" s="30">
        <v>3211.00650465734</v>
      </c>
      <c r="L159" s="30">
        <v>2788.3615904762137</v>
      </c>
      <c r="M159" s="30">
        <v>3000.8825576300751</v>
      </c>
      <c r="N159" s="30">
        <v>1717.8300322777886</v>
      </c>
      <c r="O159" s="30">
        <v>2215.475984409235</v>
      </c>
      <c r="P159" s="30">
        <v>-2500.452299105169</v>
      </c>
      <c r="R159">
        <v>151</v>
      </c>
      <c r="S159" s="30">
        <v>295.60407181729045</v>
      </c>
      <c r="T159" s="30">
        <v>206.51092935884299</v>
      </c>
      <c r="U159" s="30">
        <v>242.66453539029061</v>
      </c>
      <c r="V159" s="30">
        <v>0</v>
      </c>
      <c r="W159" s="30">
        <v>0</v>
      </c>
      <c r="X159" s="30">
        <v>0</v>
      </c>
    </row>
    <row r="160" spans="10:24" x14ac:dyDescent="0.25">
      <c r="J160">
        <v>152</v>
      </c>
      <c r="K160" s="30">
        <v>2686.6546407031856</v>
      </c>
      <c r="L160" s="30">
        <v>3882.6771185705989</v>
      </c>
      <c r="M160" s="30">
        <v>3366.9205447041086</v>
      </c>
      <c r="N160" s="30">
        <v>405.25722043101723</v>
      </c>
      <c r="O160" s="30">
        <v>2414.1790610075668</v>
      </c>
      <c r="P160" s="30">
        <v>65.998655982058153</v>
      </c>
      <c r="R160">
        <v>152</v>
      </c>
      <c r="S160" s="30">
        <v>285.16619165489101</v>
      </c>
      <c r="T160" s="30">
        <v>284.82522493472101</v>
      </c>
      <c r="U160" s="30">
        <v>101.36486762434782</v>
      </c>
      <c r="V160" s="30">
        <v>0</v>
      </c>
      <c r="W160" s="30">
        <v>100.84616467565786</v>
      </c>
      <c r="X160" s="30">
        <v>0</v>
      </c>
    </row>
    <row r="161" spans="10:24" x14ac:dyDescent="0.25">
      <c r="J161">
        <v>153</v>
      </c>
      <c r="K161" s="30">
        <v>2409.7185037004947</v>
      </c>
      <c r="L161" s="30">
        <v>2568.0830578484974</v>
      </c>
      <c r="M161" s="30">
        <v>1614.798319789928</v>
      </c>
      <c r="N161" s="30">
        <v>2301.9410887241302</v>
      </c>
      <c r="O161" s="30">
        <v>322.59199800912666</v>
      </c>
      <c r="P161" s="30">
        <v>-632.93940836737966</v>
      </c>
      <c r="R161">
        <v>153</v>
      </c>
      <c r="S161" s="30">
        <v>338.36673148471766</v>
      </c>
      <c r="T161" s="30">
        <v>241.75397297698015</v>
      </c>
      <c r="U161" s="30">
        <v>201.34722636742129</v>
      </c>
      <c r="V161" s="30">
        <v>0</v>
      </c>
      <c r="W161" s="30">
        <v>0</v>
      </c>
      <c r="X161" s="30">
        <v>0</v>
      </c>
    </row>
    <row r="162" spans="10:24" x14ac:dyDescent="0.25">
      <c r="J162">
        <v>154</v>
      </c>
      <c r="K162" s="30">
        <v>2428.0621173765667</v>
      </c>
      <c r="L162" s="30">
        <v>3628.0932165299146</v>
      </c>
      <c r="M162" s="30">
        <v>2878.7364311564666</v>
      </c>
      <c r="N162" s="30">
        <v>864.81195576585833</v>
      </c>
      <c r="O162" s="30">
        <v>2780.4445947066706</v>
      </c>
      <c r="P162" s="30">
        <v>-2030.6104076902611</v>
      </c>
      <c r="R162">
        <v>154</v>
      </c>
      <c r="S162" s="30">
        <v>322.12249128932677</v>
      </c>
      <c r="T162" s="30">
        <v>317.61050836523543</v>
      </c>
      <c r="U162" s="30">
        <v>258.35484267443951</v>
      </c>
      <c r="V162" s="30">
        <v>0</v>
      </c>
      <c r="W162" s="30">
        <v>0</v>
      </c>
      <c r="X162" s="30">
        <v>0</v>
      </c>
    </row>
    <row r="163" spans="10:24" x14ac:dyDescent="0.25">
      <c r="J163">
        <v>155</v>
      </c>
      <c r="K163" s="30">
        <v>3038.2358729731163</v>
      </c>
      <c r="L163" s="30">
        <v>3989.5593473605277</v>
      </c>
      <c r="M163" s="30">
        <v>1431.6199068317351</v>
      </c>
      <c r="N163" s="30">
        <v>-673.03624411274541</v>
      </c>
      <c r="O163" s="30">
        <v>223.29139899613256</v>
      </c>
      <c r="P163" s="30">
        <v>-73.805823547849286</v>
      </c>
      <c r="R163">
        <v>155</v>
      </c>
      <c r="S163" s="30">
        <v>329.74110038636189</v>
      </c>
      <c r="T163" s="30">
        <v>245.58210144028021</v>
      </c>
      <c r="U163" s="30">
        <v>139.33804032624789</v>
      </c>
      <c r="V163" s="30">
        <v>4.1300783588015975</v>
      </c>
      <c r="W163" s="30">
        <v>0</v>
      </c>
      <c r="X163" s="30">
        <v>0</v>
      </c>
    </row>
    <row r="164" spans="10:24" x14ac:dyDescent="0.25">
      <c r="J164">
        <v>156</v>
      </c>
      <c r="K164" s="30">
        <v>2687.3053172877972</v>
      </c>
      <c r="L164" s="30">
        <v>2750.9338987466017</v>
      </c>
      <c r="M164" s="30">
        <v>2379.2881559866032</v>
      </c>
      <c r="N164" s="30">
        <v>-971.75653969490486</v>
      </c>
      <c r="O164" s="30">
        <v>2419.1149717347243</v>
      </c>
      <c r="P164" s="30">
        <v>-303.05596056107424</v>
      </c>
      <c r="R164">
        <v>156</v>
      </c>
      <c r="S164" s="30">
        <v>231.53115838316768</v>
      </c>
      <c r="T164" s="30">
        <v>385.42163199290837</v>
      </c>
      <c r="U164" s="30">
        <v>142.32213929357835</v>
      </c>
      <c r="V164" s="30">
        <v>186.0213815618506</v>
      </c>
      <c r="W164" s="30">
        <v>34.7230519729045</v>
      </c>
      <c r="X164" s="30">
        <v>3.6645287123142225</v>
      </c>
    </row>
    <row r="165" spans="10:24" x14ac:dyDescent="0.25">
      <c r="J165">
        <v>157</v>
      </c>
      <c r="K165" s="30">
        <v>2497.4500262075649</v>
      </c>
      <c r="L165" s="30">
        <v>1792.6038504203329</v>
      </c>
      <c r="M165" s="30">
        <v>2140.7105385997374</v>
      </c>
      <c r="N165" s="30">
        <v>-1120.6092103577575</v>
      </c>
      <c r="O165" s="30">
        <v>33.741421625240946</v>
      </c>
      <c r="P165" s="30">
        <v>-2471.4549679264655</v>
      </c>
      <c r="R165">
        <v>157</v>
      </c>
      <c r="S165" s="30">
        <v>372.00910540839487</v>
      </c>
      <c r="T165" s="30">
        <v>367.07635549562536</v>
      </c>
      <c r="U165" s="30">
        <v>211.18519868252042</v>
      </c>
      <c r="V165" s="30">
        <v>0</v>
      </c>
      <c r="W165" s="30">
        <v>0</v>
      </c>
      <c r="X165" s="30">
        <v>0</v>
      </c>
    </row>
    <row r="166" spans="10:24" x14ac:dyDescent="0.25">
      <c r="J166">
        <v>158</v>
      </c>
      <c r="K166" s="30">
        <v>2975.8110818063196</v>
      </c>
      <c r="L166" s="30">
        <v>2625.8947920400724</v>
      </c>
      <c r="M166" s="30">
        <v>2992.8819006088411</v>
      </c>
      <c r="N166" s="30">
        <v>-1221.8009910906039</v>
      </c>
      <c r="O166" s="30">
        <v>1499.9970321650326</v>
      </c>
      <c r="P166" s="30">
        <v>-1170.4022958435407</v>
      </c>
      <c r="R166">
        <v>158</v>
      </c>
      <c r="S166" s="30">
        <v>273.22291916448512</v>
      </c>
      <c r="T166" s="30">
        <v>294.09959329043522</v>
      </c>
      <c r="U166" s="30">
        <v>96.50592758723036</v>
      </c>
      <c r="V166" s="30">
        <v>0</v>
      </c>
      <c r="W166" s="30">
        <v>0</v>
      </c>
      <c r="X166" s="30">
        <v>0</v>
      </c>
    </row>
    <row r="167" spans="10:24" x14ac:dyDescent="0.25">
      <c r="J167">
        <v>159</v>
      </c>
      <c r="K167" s="30">
        <v>4215.4892972822008</v>
      </c>
      <c r="L167" s="30">
        <v>2629.328489436261</v>
      </c>
      <c r="M167" s="30">
        <v>2377.3243842983284</v>
      </c>
      <c r="N167" s="30">
        <v>-1190.0258851512554</v>
      </c>
      <c r="O167" s="30">
        <v>1681.0988484938243</v>
      </c>
      <c r="P167" s="30">
        <v>-1915.5525477377505</v>
      </c>
      <c r="R167">
        <v>159</v>
      </c>
      <c r="S167" s="30">
        <v>194.31809282196502</v>
      </c>
      <c r="T167" s="30">
        <v>273.82418968789079</v>
      </c>
      <c r="U167" s="30">
        <v>131.31300427197459</v>
      </c>
      <c r="V167" s="30">
        <v>0</v>
      </c>
      <c r="W167" s="30">
        <v>0</v>
      </c>
      <c r="X167" s="30">
        <v>0</v>
      </c>
    </row>
    <row r="168" spans="10:24" x14ac:dyDescent="0.25">
      <c r="J168">
        <v>160</v>
      </c>
      <c r="K168" s="30">
        <v>2348.5529936465314</v>
      </c>
      <c r="L168" s="30">
        <v>2544.9625061591551</v>
      </c>
      <c r="M168" s="30">
        <v>2521.5088628565941</v>
      </c>
      <c r="N168" s="30">
        <v>1103.7490682183325</v>
      </c>
      <c r="O168" s="30">
        <v>1859.0139174867072</v>
      </c>
      <c r="P168" s="30">
        <v>-835.40118118637565</v>
      </c>
      <c r="R168">
        <v>160</v>
      </c>
      <c r="S168" s="30">
        <v>223.39200168726256</v>
      </c>
      <c r="T168" s="30">
        <v>197.20651865327125</v>
      </c>
      <c r="U168" s="30">
        <v>204.43350376436177</v>
      </c>
      <c r="V168" s="30">
        <v>0</v>
      </c>
      <c r="W168" s="30">
        <v>0</v>
      </c>
      <c r="X168" s="30">
        <v>0</v>
      </c>
    </row>
    <row r="169" spans="10:24" x14ac:dyDescent="0.25">
      <c r="J169">
        <v>161</v>
      </c>
      <c r="K169" s="30">
        <v>2429.4364277416203</v>
      </c>
      <c r="L169" s="30">
        <v>2803.4945077865636</v>
      </c>
      <c r="M169" s="30">
        <v>1625.741490932634</v>
      </c>
      <c r="N169" s="30">
        <v>1698.5161778952852</v>
      </c>
      <c r="O169" s="30">
        <v>624.30950047448459</v>
      </c>
      <c r="P169" s="30">
        <v>-772.61374805168271</v>
      </c>
      <c r="R169">
        <v>161</v>
      </c>
      <c r="S169" s="30">
        <v>236.02378681980923</v>
      </c>
      <c r="T169" s="30">
        <v>325.74687239392296</v>
      </c>
      <c r="U169" s="30">
        <v>141.17791068232566</v>
      </c>
      <c r="V169" s="30">
        <v>113.96484157250933</v>
      </c>
      <c r="W169" s="30">
        <v>0</v>
      </c>
      <c r="X169" s="30">
        <v>0</v>
      </c>
    </row>
    <row r="170" spans="10:24" x14ac:dyDescent="0.25">
      <c r="J170">
        <v>162</v>
      </c>
      <c r="K170" s="30">
        <v>2962.9602291699739</v>
      </c>
      <c r="L170" s="30">
        <v>4187.13862772828</v>
      </c>
      <c r="M170" s="30">
        <v>1202.3677414460426</v>
      </c>
      <c r="N170" s="30">
        <v>410.26557764769677</v>
      </c>
      <c r="O170" s="30">
        <v>477.72944994966565</v>
      </c>
      <c r="P170" s="30">
        <v>-1169.1378755928408</v>
      </c>
      <c r="R170">
        <v>162</v>
      </c>
      <c r="S170" s="30">
        <v>177.18365093496925</v>
      </c>
      <c r="T170" s="30">
        <v>341.44043830918071</v>
      </c>
      <c r="U170" s="30">
        <v>133.12941342612902</v>
      </c>
      <c r="V170" s="30">
        <v>0</v>
      </c>
      <c r="W170" s="30">
        <v>51.344600863018286</v>
      </c>
      <c r="X170" s="30">
        <v>0</v>
      </c>
    </row>
    <row r="171" spans="10:24" x14ac:dyDescent="0.25">
      <c r="J171">
        <v>163</v>
      </c>
      <c r="K171" s="30">
        <v>2111.2278177138946</v>
      </c>
      <c r="L171" s="30">
        <v>3826.3122666303602</v>
      </c>
      <c r="M171" s="30">
        <v>1353.3655698641605</v>
      </c>
      <c r="N171" s="30">
        <v>-63.389014920066984</v>
      </c>
      <c r="O171" s="30">
        <v>476.01717818734596</v>
      </c>
      <c r="P171" s="30">
        <v>-850.30904320761601</v>
      </c>
      <c r="R171">
        <v>163</v>
      </c>
      <c r="S171" s="30">
        <v>232.84723900182939</v>
      </c>
      <c r="T171" s="30">
        <v>379.79419129952942</v>
      </c>
      <c r="U171" s="30">
        <v>11.276156566422515</v>
      </c>
      <c r="V171" s="30">
        <v>0</v>
      </c>
      <c r="W171" s="30">
        <v>0</v>
      </c>
      <c r="X171" s="30">
        <v>0</v>
      </c>
    </row>
    <row r="172" spans="10:24" x14ac:dyDescent="0.25">
      <c r="J172">
        <v>164</v>
      </c>
      <c r="K172" s="30">
        <v>2942.5887313991871</v>
      </c>
      <c r="L172" s="30">
        <v>3130.8303461473661</v>
      </c>
      <c r="M172" s="30">
        <v>1351.4500155277256</v>
      </c>
      <c r="N172" s="30">
        <v>1430.5014159288048</v>
      </c>
      <c r="O172" s="30">
        <v>-482.95526083050208</v>
      </c>
      <c r="P172" s="30">
        <v>-667.03773592972902</v>
      </c>
      <c r="R172">
        <v>164</v>
      </c>
      <c r="S172" s="30">
        <v>262.72366125896042</v>
      </c>
      <c r="T172" s="30">
        <v>366.9617396656912</v>
      </c>
      <c r="U172" s="30">
        <v>103.57904050253148</v>
      </c>
      <c r="V172" s="30">
        <v>43.877384099353378</v>
      </c>
      <c r="W172" s="30">
        <v>0</v>
      </c>
      <c r="X172" s="30">
        <v>0</v>
      </c>
    </row>
    <row r="173" spans="10:24" x14ac:dyDescent="0.25">
      <c r="J173">
        <v>165</v>
      </c>
      <c r="K173" s="30">
        <v>2276.6607321126976</v>
      </c>
      <c r="L173" s="30">
        <v>2295.6134914182931</v>
      </c>
      <c r="M173" s="30">
        <v>2911.1114771377543</v>
      </c>
      <c r="N173" s="30">
        <v>1573.9288820602451</v>
      </c>
      <c r="O173" s="30">
        <v>3284.3848428314159</v>
      </c>
      <c r="P173" s="30">
        <v>744.1492766283809</v>
      </c>
      <c r="R173">
        <v>165</v>
      </c>
      <c r="S173" s="30">
        <v>323.65496266618652</v>
      </c>
      <c r="T173" s="30">
        <v>373.16885819374266</v>
      </c>
      <c r="U173" s="30">
        <v>88.413002493050044</v>
      </c>
      <c r="V173" s="30">
        <v>0</v>
      </c>
      <c r="W173" s="30">
        <v>183.96463491339023</v>
      </c>
      <c r="X173" s="30">
        <v>0</v>
      </c>
    </row>
    <row r="174" spans="10:24" x14ac:dyDescent="0.25">
      <c r="J174">
        <v>166</v>
      </c>
      <c r="K174" s="30">
        <v>4365.7415805088394</v>
      </c>
      <c r="L174" s="30">
        <v>3813.6420719735124</v>
      </c>
      <c r="M174" s="30">
        <v>2521.5571798513156</v>
      </c>
      <c r="N174" s="30">
        <v>179.76856711651089</v>
      </c>
      <c r="O174" s="30">
        <v>1186.8636565454535</v>
      </c>
      <c r="P174" s="30">
        <v>-1755.8734291486189</v>
      </c>
      <c r="R174">
        <v>166</v>
      </c>
      <c r="S174" s="30">
        <v>161.77794030361531</v>
      </c>
      <c r="T174" s="30">
        <v>334.31599898066526</v>
      </c>
      <c r="U174" s="30">
        <v>142.7780098582121</v>
      </c>
      <c r="V174" s="30">
        <v>42.969093566770539</v>
      </c>
      <c r="W174" s="30">
        <v>78.615800990485127</v>
      </c>
      <c r="X174" s="30">
        <v>0</v>
      </c>
    </row>
    <row r="175" spans="10:24" x14ac:dyDescent="0.25">
      <c r="J175">
        <v>167</v>
      </c>
      <c r="K175" s="30">
        <v>2682.63200316748</v>
      </c>
      <c r="L175" s="30">
        <v>3009.0141022489261</v>
      </c>
      <c r="M175" s="30">
        <v>1531.6241324744337</v>
      </c>
      <c r="N175" s="30">
        <v>371.62002270395533</v>
      </c>
      <c r="O175" s="30">
        <v>1643.8921756851487</v>
      </c>
      <c r="P175" s="30">
        <v>-813.62907168272613</v>
      </c>
      <c r="R175">
        <v>167</v>
      </c>
      <c r="S175" s="30">
        <v>416.55298042330708</v>
      </c>
      <c r="T175" s="30">
        <v>314.87605663931521</v>
      </c>
      <c r="U175" s="30">
        <v>180.50403482650134</v>
      </c>
      <c r="V175" s="30">
        <v>0</v>
      </c>
      <c r="W175" s="30">
        <v>0</v>
      </c>
      <c r="X175" s="30">
        <v>0</v>
      </c>
    </row>
    <row r="176" spans="10:24" x14ac:dyDescent="0.25">
      <c r="J176">
        <v>168</v>
      </c>
      <c r="K176" s="30">
        <v>3647.2639209560648</v>
      </c>
      <c r="L176" s="30">
        <v>2519.0578205851234</v>
      </c>
      <c r="M176" s="30">
        <v>3693.4103693634597</v>
      </c>
      <c r="N176" s="30">
        <v>-654.76969751443903</v>
      </c>
      <c r="O176" s="30">
        <v>1775.6690656684486</v>
      </c>
      <c r="P176" s="30">
        <v>-967.44400368950119</v>
      </c>
      <c r="R176">
        <v>168</v>
      </c>
      <c r="S176" s="30">
        <v>336.19569632600326</v>
      </c>
      <c r="T176" s="30">
        <v>371.12346197850553</v>
      </c>
      <c r="U176" s="30">
        <v>208.85885669176383</v>
      </c>
      <c r="V176" s="30">
        <v>0</v>
      </c>
      <c r="W176" s="30">
        <v>0</v>
      </c>
      <c r="X176" s="30">
        <v>12.540387154103826</v>
      </c>
    </row>
    <row r="177" spans="10:24" x14ac:dyDescent="0.25">
      <c r="J177">
        <v>169</v>
      </c>
      <c r="K177" s="30">
        <v>2352.4442504555432</v>
      </c>
      <c r="L177" s="30">
        <v>4127.3912471832118</v>
      </c>
      <c r="M177" s="30">
        <v>3883.2893570420047</v>
      </c>
      <c r="N177" s="30">
        <v>2006.0904216674126</v>
      </c>
      <c r="O177" s="30">
        <v>2769.5206290001488</v>
      </c>
      <c r="P177" s="30">
        <v>-558.4163813325813</v>
      </c>
      <c r="R177">
        <v>169</v>
      </c>
      <c r="S177" s="30">
        <v>280.66385214538684</v>
      </c>
      <c r="T177" s="30">
        <v>144.6125170451553</v>
      </c>
      <c r="U177" s="30">
        <v>123.40318340933283</v>
      </c>
      <c r="V177" s="30">
        <v>0</v>
      </c>
      <c r="W177" s="30">
        <v>0</v>
      </c>
      <c r="X177" s="30">
        <v>0</v>
      </c>
    </row>
    <row r="178" spans="10:24" x14ac:dyDescent="0.25">
      <c r="J178">
        <v>170</v>
      </c>
      <c r="K178" s="30">
        <v>3577.4227898368104</v>
      </c>
      <c r="L178" s="30">
        <v>2609.6102852432577</v>
      </c>
      <c r="M178" s="30">
        <v>1724.4296902866013</v>
      </c>
      <c r="N178" s="30">
        <v>634.26414491211835</v>
      </c>
      <c r="O178" s="30">
        <v>1997.300957209437</v>
      </c>
      <c r="P178" s="30">
        <v>-1241.5694710851149</v>
      </c>
      <c r="R178">
        <v>170</v>
      </c>
      <c r="S178" s="30">
        <v>334.13499840186483</v>
      </c>
      <c r="T178" s="30">
        <v>259.17240970383216</v>
      </c>
      <c r="U178" s="30">
        <v>227.77037785386307</v>
      </c>
      <c r="V178" s="30">
        <v>0</v>
      </c>
      <c r="W178" s="30">
        <v>0</v>
      </c>
      <c r="X178" s="30">
        <v>0</v>
      </c>
    </row>
    <row r="179" spans="10:24" x14ac:dyDescent="0.25">
      <c r="J179">
        <v>171</v>
      </c>
      <c r="K179" s="30">
        <v>4040.2062590367304</v>
      </c>
      <c r="L179" s="30">
        <v>2169.8823777167113</v>
      </c>
      <c r="M179" s="30">
        <v>3377.6896051173899</v>
      </c>
      <c r="N179" s="30">
        <v>-665.22905185430773</v>
      </c>
      <c r="O179" s="30">
        <v>1948.4288613182007</v>
      </c>
      <c r="P179" s="30">
        <v>-157.79853532989364</v>
      </c>
      <c r="R179">
        <v>171</v>
      </c>
      <c r="S179" s="30">
        <v>204.46874360940615</v>
      </c>
      <c r="T179" s="30">
        <v>269.63530429448406</v>
      </c>
      <c r="U179" s="30">
        <v>214.78265078807726</v>
      </c>
      <c r="V179" s="30">
        <v>13.86953212783078</v>
      </c>
      <c r="W179" s="30">
        <v>142.08037925223925</v>
      </c>
      <c r="X179" s="30">
        <v>0</v>
      </c>
    </row>
    <row r="180" spans="10:24" x14ac:dyDescent="0.25">
      <c r="J180">
        <v>172</v>
      </c>
      <c r="K180" s="30">
        <v>3626.7835833600384</v>
      </c>
      <c r="L180" s="30">
        <v>4083.4209218698379</v>
      </c>
      <c r="M180" s="30">
        <v>2571.9501618277795</v>
      </c>
      <c r="N180" s="30">
        <v>596.23979153672735</v>
      </c>
      <c r="O180" s="30">
        <v>1632.6226314155347</v>
      </c>
      <c r="P180" s="30">
        <v>-29.160653789412208</v>
      </c>
      <c r="R180">
        <v>172</v>
      </c>
      <c r="S180" s="30">
        <v>347.40313425032332</v>
      </c>
      <c r="T180" s="30">
        <v>258.07865749808911</v>
      </c>
      <c r="U180" s="30">
        <v>124.34719514279737</v>
      </c>
      <c r="V180" s="30">
        <v>0</v>
      </c>
      <c r="W180" s="30">
        <v>0</v>
      </c>
      <c r="X180" s="30">
        <v>0</v>
      </c>
    </row>
    <row r="181" spans="10:24" x14ac:dyDescent="0.25">
      <c r="J181">
        <v>173</v>
      </c>
      <c r="K181" s="30">
        <v>2803.5199022044417</v>
      </c>
      <c r="L181" s="30">
        <v>2709.0970687609911</v>
      </c>
      <c r="M181" s="30">
        <v>1628.302055625677</v>
      </c>
      <c r="N181" s="30">
        <v>896.45762100413867</v>
      </c>
      <c r="O181" s="30">
        <v>481.1654669638001</v>
      </c>
      <c r="P181" s="30">
        <v>-1006.5938487585299</v>
      </c>
      <c r="R181">
        <v>173</v>
      </c>
      <c r="S181" s="30">
        <v>263.92512129022725</v>
      </c>
      <c r="T181" s="30">
        <v>213.26442318204329</v>
      </c>
      <c r="U181" s="30">
        <v>157.43597900686763</v>
      </c>
      <c r="V181" s="30">
        <v>0</v>
      </c>
      <c r="W181" s="30">
        <v>164.02772164295504</v>
      </c>
      <c r="X181" s="30">
        <v>0</v>
      </c>
    </row>
    <row r="182" spans="10:24" x14ac:dyDescent="0.25">
      <c r="J182">
        <v>174</v>
      </c>
      <c r="K182" s="30">
        <v>4172.0942501946829</v>
      </c>
      <c r="L182" s="30">
        <v>2921.3301086336683</v>
      </c>
      <c r="M182" s="30">
        <v>3664.8219085540554</v>
      </c>
      <c r="N182" s="30">
        <v>199.90269539328074</v>
      </c>
      <c r="O182" s="30">
        <v>2981.0111960411314</v>
      </c>
      <c r="P182" s="30">
        <v>-1059.541594217294</v>
      </c>
      <c r="R182">
        <v>174</v>
      </c>
      <c r="S182" s="30">
        <v>272.68773512127342</v>
      </c>
      <c r="T182" s="30">
        <v>342.28689836843461</v>
      </c>
      <c r="U182" s="30">
        <v>188.60637286871116</v>
      </c>
      <c r="V182" s="30">
        <v>0</v>
      </c>
      <c r="W182" s="30">
        <v>147.26019857404958</v>
      </c>
      <c r="X182" s="30">
        <v>0</v>
      </c>
    </row>
    <row r="183" spans="10:24" x14ac:dyDescent="0.25">
      <c r="J183">
        <v>175</v>
      </c>
      <c r="K183" s="30">
        <v>2895.6186388882084</v>
      </c>
      <c r="L183" s="30">
        <v>2687.1497601313281</v>
      </c>
      <c r="M183" s="30">
        <v>2294.4211876812433</v>
      </c>
      <c r="N183" s="30">
        <v>-857.03886882937968</v>
      </c>
      <c r="O183" s="30">
        <v>1222.935833813478</v>
      </c>
      <c r="P183" s="30">
        <v>297.54995027170844</v>
      </c>
      <c r="R183">
        <v>175</v>
      </c>
      <c r="S183" s="30">
        <v>303.54906617061152</v>
      </c>
      <c r="T183" s="30">
        <v>271.44202916008834</v>
      </c>
      <c r="U183" s="30">
        <v>122.68556276437505</v>
      </c>
      <c r="V183" s="30">
        <v>0</v>
      </c>
      <c r="W183" s="30">
        <v>0</v>
      </c>
      <c r="X183" s="30">
        <v>0</v>
      </c>
    </row>
    <row r="184" spans="10:24" x14ac:dyDescent="0.25">
      <c r="J184">
        <v>176</v>
      </c>
      <c r="K184" s="30">
        <v>2342.7543030824454</v>
      </c>
      <c r="L184" s="30">
        <v>3960.9174706989284</v>
      </c>
      <c r="M184" s="30">
        <v>2504.3073908433807</v>
      </c>
      <c r="N184" s="30">
        <v>-1337.3648265920156</v>
      </c>
      <c r="O184" s="30">
        <v>1542.5231218029867</v>
      </c>
      <c r="P184" s="30">
        <v>-1481.6111739915241</v>
      </c>
      <c r="R184">
        <v>176</v>
      </c>
      <c r="S184" s="30">
        <v>223.03337097733896</v>
      </c>
      <c r="T184" s="30">
        <v>304.90891583902646</v>
      </c>
      <c r="U184" s="30">
        <v>23.293829806665428</v>
      </c>
      <c r="V184" s="30">
        <v>0</v>
      </c>
      <c r="W184" s="30">
        <v>0</v>
      </c>
      <c r="X184" s="30">
        <v>0</v>
      </c>
    </row>
    <row r="185" spans="10:24" x14ac:dyDescent="0.25">
      <c r="J185">
        <v>177</v>
      </c>
      <c r="K185" s="30">
        <v>3837.714428342154</v>
      </c>
      <c r="L185" s="30">
        <v>3039.2345272914881</v>
      </c>
      <c r="M185" s="30">
        <v>2899.5574148590217</v>
      </c>
      <c r="N185" s="30">
        <v>1351.5003696670592</v>
      </c>
      <c r="O185" s="30">
        <v>2406.4941762130884</v>
      </c>
      <c r="P185" s="30">
        <v>-1632.1432829067489</v>
      </c>
      <c r="R185">
        <v>177</v>
      </c>
      <c r="S185" s="30">
        <v>198.78438651176953</v>
      </c>
      <c r="T185" s="30">
        <v>305.13448031988139</v>
      </c>
      <c r="U185" s="30">
        <v>177.68353411704305</v>
      </c>
      <c r="V185" s="30">
        <v>0</v>
      </c>
      <c r="W185" s="30">
        <v>0</v>
      </c>
      <c r="X185" s="30">
        <v>0</v>
      </c>
    </row>
    <row r="186" spans="10:24" x14ac:dyDescent="0.25">
      <c r="J186">
        <v>178</v>
      </c>
      <c r="K186" s="30">
        <v>2159.9957343451297</v>
      </c>
      <c r="L186" s="30">
        <v>2825.0091151277315</v>
      </c>
      <c r="M186" s="30">
        <v>2099.5381228806586</v>
      </c>
      <c r="N186" s="30">
        <v>540.47602986114089</v>
      </c>
      <c r="O186" s="30">
        <v>2155.1113689083904</v>
      </c>
      <c r="P186" s="30">
        <v>854.00051106196133</v>
      </c>
      <c r="R186">
        <v>178</v>
      </c>
      <c r="S186" s="30">
        <v>302.14948190299458</v>
      </c>
      <c r="T186" s="30">
        <v>281.91688923110439</v>
      </c>
      <c r="U186" s="30">
        <v>172.69999537101256</v>
      </c>
      <c r="V186" s="30">
        <v>0</v>
      </c>
      <c r="W186" s="30">
        <v>9.5470786242600525</v>
      </c>
      <c r="X186" s="30">
        <v>0</v>
      </c>
    </row>
    <row r="187" spans="10:24" x14ac:dyDescent="0.25">
      <c r="J187">
        <v>179</v>
      </c>
      <c r="K187" s="30">
        <v>3532.6893552736383</v>
      </c>
      <c r="L187" s="30">
        <v>1688.9715810229141</v>
      </c>
      <c r="M187" s="30">
        <v>2322.8209971138081</v>
      </c>
      <c r="N187" s="30">
        <v>1182.3721594402423</v>
      </c>
      <c r="O187" s="30">
        <v>3028.6083635088844</v>
      </c>
      <c r="P187" s="30">
        <v>280.16918805803834</v>
      </c>
      <c r="R187">
        <v>179</v>
      </c>
      <c r="S187" s="30">
        <v>295.40475787015311</v>
      </c>
      <c r="T187" s="30">
        <v>300.82452336492361</v>
      </c>
      <c r="U187" s="30">
        <v>86.290092328588685</v>
      </c>
      <c r="V187" s="30">
        <v>0</v>
      </c>
      <c r="W187" s="30">
        <v>53.857488622229198</v>
      </c>
      <c r="X187" s="30">
        <v>0</v>
      </c>
    </row>
    <row r="188" spans="10:24" x14ac:dyDescent="0.25">
      <c r="J188">
        <v>180</v>
      </c>
      <c r="K188" s="30">
        <v>3585.9866075306818</v>
      </c>
      <c r="L188" s="30">
        <v>2827.448553515515</v>
      </c>
      <c r="M188" s="30">
        <v>3171.0209329528575</v>
      </c>
      <c r="N188" s="30">
        <v>163.21901391726533</v>
      </c>
      <c r="O188" s="30">
        <v>-707.55744259254971</v>
      </c>
      <c r="P188" s="30">
        <v>-883.42675133159537</v>
      </c>
      <c r="R188">
        <v>180</v>
      </c>
      <c r="S188" s="30">
        <v>249.07104633544765</v>
      </c>
      <c r="T188" s="30">
        <v>248.38249078271292</v>
      </c>
      <c r="U188" s="30">
        <v>131.41175697926923</v>
      </c>
      <c r="V188" s="30">
        <v>0</v>
      </c>
      <c r="W188" s="30">
        <v>0</v>
      </c>
      <c r="X188" s="30">
        <v>0</v>
      </c>
    </row>
    <row r="189" spans="10:24" x14ac:dyDescent="0.25">
      <c r="J189">
        <v>181</v>
      </c>
      <c r="K189" s="30">
        <v>2220.2861895794026</v>
      </c>
      <c r="L189" s="30">
        <v>2827.0110443666804</v>
      </c>
      <c r="M189" s="30">
        <v>2367.6477793460899</v>
      </c>
      <c r="N189" s="30">
        <v>-1193.1652586707705</v>
      </c>
      <c r="O189" s="30">
        <v>3325.6195921836561</v>
      </c>
      <c r="P189" s="30">
        <v>-2456.6943377458438</v>
      </c>
      <c r="R189">
        <v>181</v>
      </c>
      <c r="S189" s="30">
        <v>321.51930201210132</v>
      </c>
      <c r="T189" s="30">
        <v>464.5310977426692</v>
      </c>
      <c r="U189" s="30">
        <v>288.50019823227319</v>
      </c>
      <c r="V189" s="30">
        <v>41.524037229997873</v>
      </c>
      <c r="W189" s="30">
        <v>0</v>
      </c>
      <c r="X189" s="30">
        <v>0</v>
      </c>
    </row>
    <row r="190" spans="10:24" x14ac:dyDescent="0.25">
      <c r="J190">
        <v>182</v>
      </c>
      <c r="K190" s="30">
        <v>2968.5899348385228</v>
      </c>
      <c r="L190" s="30">
        <v>3536.6479441605484</v>
      </c>
      <c r="M190" s="30">
        <v>4026.6235912904158</v>
      </c>
      <c r="N190" s="30">
        <v>-21.449806847775108</v>
      </c>
      <c r="O190" s="30">
        <v>1034.230717856758</v>
      </c>
      <c r="P190" s="30">
        <v>-1047.3731445329167</v>
      </c>
      <c r="R190">
        <v>182</v>
      </c>
      <c r="S190" s="30">
        <v>239.4401650895353</v>
      </c>
      <c r="T190" s="30">
        <v>237.41673239045309</v>
      </c>
      <c r="U190" s="30">
        <v>105.25375813420033</v>
      </c>
      <c r="V190" s="30">
        <v>0</v>
      </c>
      <c r="W190" s="30">
        <v>62.766526668591723</v>
      </c>
      <c r="X190" s="30">
        <v>0</v>
      </c>
    </row>
    <row r="191" spans="10:24" x14ac:dyDescent="0.25">
      <c r="J191">
        <v>183</v>
      </c>
      <c r="K191" s="30">
        <v>3012.0104648455253</v>
      </c>
      <c r="L191" s="30">
        <v>3283.695308979934</v>
      </c>
      <c r="M191" s="30">
        <v>1773.4991667666877</v>
      </c>
      <c r="N191" s="30">
        <v>3057.2337051505492</v>
      </c>
      <c r="O191" s="30">
        <v>-1556.4768200863691</v>
      </c>
      <c r="P191" s="30">
        <v>941.44576780051648</v>
      </c>
      <c r="R191">
        <v>183</v>
      </c>
      <c r="S191" s="30">
        <v>171.65738394770614</v>
      </c>
      <c r="T191" s="30">
        <v>220.61634749815357</v>
      </c>
      <c r="U191" s="30">
        <v>147.88866294627729</v>
      </c>
      <c r="V191" s="30">
        <v>45.859440589114342</v>
      </c>
      <c r="W191" s="30">
        <v>0</v>
      </c>
      <c r="X191" s="30">
        <v>0</v>
      </c>
    </row>
    <row r="192" spans="10:24" x14ac:dyDescent="0.25">
      <c r="J192">
        <v>184</v>
      </c>
      <c r="K192" s="30">
        <v>4017.750707489412</v>
      </c>
      <c r="L192" s="30">
        <v>1880.6592160762707</v>
      </c>
      <c r="M192" s="30">
        <v>2264.8870886758164</v>
      </c>
      <c r="N192" s="30">
        <v>1089.151299051975</v>
      </c>
      <c r="O192" s="30">
        <v>2568.886864846716</v>
      </c>
      <c r="P192" s="30">
        <v>-1449.9066080788007</v>
      </c>
      <c r="R192">
        <v>184</v>
      </c>
      <c r="S192" s="30">
        <v>281.43809269028566</v>
      </c>
      <c r="T192" s="30">
        <v>299.015212589469</v>
      </c>
      <c r="U192" s="30">
        <v>227.15325235174367</v>
      </c>
      <c r="V192" s="30">
        <v>0</v>
      </c>
      <c r="W192" s="30">
        <v>0</v>
      </c>
      <c r="X192" s="30">
        <v>0</v>
      </c>
    </row>
    <row r="193" spans="10:24" x14ac:dyDescent="0.25">
      <c r="J193">
        <v>185</v>
      </c>
      <c r="K193" s="30">
        <v>4066.7385827925982</v>
      </c>
      <c r="L193" s="30">
        <v>2920.2913583321624</v>
      </c>
      <c r="M193" s="30">
        <v>2846.5542749886654</v>
      </c>
      <c r="N193" s="30">
        <v>-680.16331640139833</v>
      </c>
      <c r="O193" s="30">
        <v>3188.1125455122828</v>
      </c>
      <c r="P193" s="30">
        <v>-526.21146561341993</v>
      </c>
      <c r="R193">
        <v>185</v>
      </c>
      <c r="S193" s="30">
        <v>419.82145729530265</v>
      </c>
      <c r="T193" s="30">
        <v>339.47738956846251</v>
      </c>
      <c r="U193" s="30">
        <v>162.87225342316106</v>
      </c>
      <c r="V193" s="30">
        <v>0</v>
      </c>
      <c r="W193" s="30">
        <v>133.90795071857457</v>
      </c>
      <c r="X193" s="30">
        <v>0</v>
      </c>
    </row>
    <row r="194" spans="10:24" x14ac:dyDescent="0.25">
      <c r="J194">
        <v>186</v>
      </c>
      <c r="K194" s="30">
        <v>2310.131640499661</v>
      </c>
      <c r="L194" s="30">
        <v>3255.5784920376091</v>
      </c>
      <c r="M194" s="30">
        <v>2158.8903157753066</v>
      </c>
      <c r="N194" s="30">
        <v>464.17508406958768</v>
      </c>
      <c r="O194" s="30">
        <v>3626.2793962597925</v>
      </c>
      <c r="P194" s="30">
        <v>-1833.8143284277585</v>
      </c>
      <c r="R194">
        <v>186</v>
      </c>
      <c r="S194" s="30">
        <v>269.78199809171394</v>
      </c>
      <c r="T194" s="30">
        <v>234.51540903708872</v>
      </c>
      <c r="U194" s="30">
        <v>129.8900474027551</v>
      </c>
      <c r="V194" s="30">
        <v>0</v>
      </c>
      <c r="W194" s="30">
        <v>4.998273583006835</v>
      </c>
      <c r="X194" s="30">
        <v>0</v>
      </c>
    </row>
    <row r="195" spans="10:24" x14ac:dyDescent="0.25">
      <c r="J195">
        <v>187</v>
      </c>
      <c r="K195" s="30">
        <v>2520.0094353540271</v>
      </c>
      <c r="L195" s="30">
        <v>2848.1589435067335</v>
      </c>
      <c r="M195" s="30">
        <v>2854.1166169779144</v>
      </c>
      <c r="N195" s="30">
        <v>228.89549145723322</v>
      </c>
      <c r="O195" s="30">
        <v>3306.6064730752314</v>
      </c>
      <c r="P195" s="30">
        <v>-1151.2854873256656</v>
      </c>
      <c r="R195">
        <v>187</v>
      </c>
      <c r="S195" s="30">
        <v>320.21454170145131</v>
      </c>
      <c r="T195" s="30">
        <v>276.87407035005054</v>
      </c>
      <c r="U195" s="30">
        <v>180.63835172009328</v>
      </c>
      <c r="V195" s="30">
        <v>0</v>
      </c>
      <c r="W195" s="30">
        <v>145.59160339205567</v>
      </c>
      <c r="X195" s="30">
        <v>0</v>
      </c>
    </row>
    <row r="196" spans="10:24" x14ac:dyDescent="0.25">
      <c r="J196">
        <v>188</v>
      </c>
      <c r="K196" s="30">
        <v>2287.8576224204676</v>
      </c>
      <c r="L196" s="30">
        <v>3745.0521294756741</v>
      </c>
      <c r="M196" s="30">
        <v>2617.1296542080418</v>
      </c>
      <c r="N196" s="30">
        <v>-339.98195173182921</v>
      </c>
      <c r="O196" s="30">
        <v>4063.0528924505916</v>
      </c>
      <c r="P196" s="30">
        <v>-1991.2849706889301</v>
      </c>
      <c r="R196">
        <v>188</v>
      </c>
      <c r="S196" s="30">
        <v>235.68984904246457</v>
      </c>
      <c r="T196" s="30">
        <v>312.64005150649376</v>
      </c>
      <c r="U196" s="30">
        <v>132.06210834410376</v>
      </c>
      <c r="V196" s="30">
        <v>0</v>
      </c>
      <c r="W196" s="30">
        <v>10.670593388235602</v>
      </c>
      <c r="X196" s="30">
        <v>0</v>
      </c>
    </row>
    <row r="197" spans="10:24" x14ac:dyDescent="0.25">
      <c r="J197">
        <v>189</v>
      </c>
      <c r="K197" s="30">
        <v>3959.6021202944517</v>
      </c>
      <c r="L197" s="30">
        <v>3045.1403916277091</v>
      </c>
      <c r="M197" s="30">
        <v>3400.9990166122489</v>
      </c>
      <c r="N197" s="30">
        <v>846.42236274560855</v>
      </c>
      <c r="O197" s="30">
        <v>1960.6699019400457</v>
      </c>
      <c r="P197" s="30">
        <v>-2384.4869868482165</v>
      </c>
      <c r="R197">
        <v>189</v>
      </c>
      <c r="S197" s="30">
        <v>226.17778042063776</v>
      </c>
      <c r="T197" s="30">
        <v>307.02256041688111</v>
      </c>
      <c r="U197" s="30">
        <v>232.29855366322749</v>
      </c>
      <c r="V197" s="30">
        <v>0</v>
      </c>
      <c r="W197" s="30">
        <v>0</v>
      </c>
      <c r="X197" s="30">
        <v>0</v>
      </c>
    </row>
    <row r="198" spans="10:24" x14ac:dyDescent="0.25">
      <c r="J198">
        <v>190</v>
      </c>
      <c r="K198" s="30">
        <v>3004.5556125021567</v>
      </c>
      <c r="L198" s="30">
        <v>1676.2458598978092</v>
      </c>
      <c r="M198" s="30">
        <v>3575.1549150028704</v>
      </c>
      <c r="N198" s="30">
        <v>1317.3318946303007</v>
      </c>
      <c r="O198" s="30">
        <v>2506.3971770764656</v>
      </c>
      <c r="P198" s="30">
        <v>-1994.596015802369</v>
      </c>
      <c r="R198">
        <v>190</v>
      </c>
      <c r="S198" s="30">
        <v>179.91179482253398</v>
      </c>
      <c r="T198" s="30">
        <v>323.9328607941448</v>
      </c>
      <c r="U198" s="30">
        <v>296.48972966594704</v>
      </c>
      <c r="V198" s="30">
        <v>0</v>
      </c>
      <c r="W198" s="30">
        <v>0</v>
      </c>
      <c r="X198" s="30">
        <v>0</v>
      </c>
    </row>
    <row r="199" spans="10:24" x14ac:dyDescent="0.25">
      <c r="J199">
        <v>191</v>
      </c>
      <c r="K199" s="30">
        <v>2782.0318707606889</v>
      </c>
      <c r="L199" s="30">
        <v>2023.8675877533715</v>
      </c>
      <c r="M199" s="30">
        <v>2013.0600223435085</v>
      </c>
      <c r="N199" s="30">
        <v>3357.517463153732</v>
      </c>
      <c r="O199" s="30">
        <v>2585.1371552636292</v>
      </c>
      <c r="P199" s="30">
        <v>-1379.9648164073878</v>
      </c>
      <c r="R199">
        <v>191</v>
      </c>
      <c r="S199" s="30">
        <v>292.63985895788551</v>
      </c>
      <c r="T199" s="30">
        <v>271.33677587689033</v>
      </c>
      <c r="U199" s="30">
        <v>150.31107576766641</v>
      </c>
      <c r="V199" s="30">
        <v>0</v>
      </c>
      <c r="W199" s="30">
        <v>0</v>
      </c>
      <c r="X199" s="30">
        <v>0</v>
      </c>
    </row>
    <row r="200" spans="10:24" x14ac:dyDescent="0.25">
      <c r="J200">
        <v>192</v>
      </c>
      <c r="K200" s="30">
        <v>2448.0584884204181</v>
      </c>
      <c r="L200" s="30">
        <v>2684.1003642284336</v>
      </c>
      <c r="M200" s="30">
        <v>3891.682223315127</v>
      </c>
      <c r="N200" s="30">
        <v>2741.2663868718873</v>
      </c>
      <c r="O200" s="30">
        <v>1003.6785706948831</v>
      </c>
      <c r="P200" s="30">
        <v>1619.1373808027938</v>
      </c>
      <c r="R200">
        <v>192</v>
      </c>
      <c r="S200" s="30">
        <v>151.0899424726029</v>
      </c>
      <c r="T200" s="30">
        <v>275.09996713630977</v>
      </c>
      <c r="U200" s="30">
        <v>72.334759322989441</v>
      </c>
      <c r="V200" s="30">
        <v>0</v>
      </c>
      <c r="W200" s="30">
        <v>5.5496374278476424</v>
      </c>
      <c r="X200" s="30">
        <v>0</v>
      </c>
    </row>
    <row r="201" spans="10:24" x14ac:dyDescent="0.25">
      <c r="J201">
        <v>193</v>
      </c>
      <c r="K201" s="30">
        <v>4335.7023248843525</v>
      </c>
      <c r="L201" s="30">
        <v>2878.9542041727877</v>
      </c>
      <c r="M201" s="30">
        <v>1360.8082495930439</v>
      </c>
      <c r="N201" s="30">
        <v>715.01399229294657</v>
      </c>
      <c r="O201" s="30">
        <v>928.15466749024199</v>
      </c>
      <c r="P201" s="30">
        <v>-849.79324128642565</v>
      </c>
      <c r="R201">
        <v>193</v>
      </c>
      <c r="S201" s="30">
        <v>374.21209288745246</v>
      </c>
      <c r="T201" s="30">
        <v>248.75348005381045</v>
      </c>
      <c r="U201" s="30">
        <v>149.06620720370182</v>
      </c>
      <c r="V201" s="30">
        <v>0</v>
      </c>
      <c r="W201" s="30">
        <v>0</v>
      </c>
      <c r="X201" s="30">
        <v>0</v>
      </c>
    </row>
    <row r="202" spans="10:24" x14ac:dyDescent="0.25">
      <c r="J202">
        <v>194</v>
      </c>
      <c r="K202" s="30">
        <v>4100.0959962273064</v>
      </c>
      <c r="L202" s="30">
        <v>2819.166233860989</v>
      </c>
      <c r="M202" s="30">
        <v>2814.4862302092974</v>
      </c>
      <c r="N202" s="30">
        <v>187.07135560532151</v>
      </c>
      <c r="O202" s="30">
        <v>2825.4734190138261</v>
      </c>
      <c r="P202" s="30">
        <v>383.1162798048581</v>
      </c>
      <c r="R202">
        <v>194</v>
      </c>
      <c r="S202" s="30">
        <v>332.6836810692501</v>
      </c>
      <c r="T202" s="30">
        <v>372.64179093366749</v>
      </c>
      <c r="U202" s="30">
        <v>167.45539247183939</v>
      </c>
      <c r="V202" s="30">
        <v>0</v>
      </c>
      <c r="W202" s="30">
        <v>43.428538875097843</v>
      </c>
      <c r="X202" s="30">
        <v>0</v>
      </c>
    </row>
    <row r="203" spans="10:24" x14ac:dyDescent="0.25">
      <c r="J203">
        <v>195</v>
      </c>
      <c r="K203" s="30">
        <v>2298.0744365132459</v>
      </c>
      <c r="L203" s="30">
        <v>3181.3982606395921</v>
      </c>
      <c r="M203" s="30">
        <v>2377.4380392899056</v>
      </c>
      <c r="N203" s="30">
        <v>1239.278045812408</v>
      </c>
      <c r="O203" s="30">
        <v>2604.3658636194486</v>
      </c>
      <c r="P203" s="30">
        <v>-721.99374822160553</v>
      </c>
      <c r="R203">
        <v>195</v>
      </c>
      <c r="S203" s="30">
        <v>249.70379281157057</v>
      </c>
      <c r="T203" s="30">
        <v>216.41153380231026</v>
      </c>
      <c r="U203" s="30">
        <v>145.69864507575022</v>
      </c>
      <c r="V203" s="30">
        <v>0</v>
      </c>
      <c r="W203" s="30">
        <v>0</v>
      </c>
      <c r="X203" s="30">
        <v>0</v>
      </c>
    </row>
    <row r="204" spans="10:24" x14ac:dyDescent="0.25">
      <c r="J204">
        <v>196</v>
      </c>
      <c r="K204" s="30">
        <v>2411.927707131038</v>
      </c>
      <c r="L204" s="30">
        <v>2422.2787261510475</v>
      </c>
      <c r="M204" s="30">
        <v>3990.8982090256</v>
      </c>
      <c r="N204" s="30">
        <v>-934.00822978568976</v>
      </c>
      <c r="O204" s="30">
        <v>2792.7996423107052</v>
      </c>
      <c r="P204" s="30">
        <v>-1309.8707132850586</v>
      </c>
      <c r="R204">
        <v>196</v>
      </c>
      <c r="S204" s="30">
        <v>287.12285529161363</v>
      </c>
      <c r="T204" s="30">
        <v>305.30244957448616</v>
      </c>
      <c r="U204" s="30">
        <v>138.98100742934088</v>
      </c>
      <c r="V204" s="30">
        <v>0</v>
      </c>
      <c r="W204" s="30">
        <v>0</v>
      </c>
      <c r="X204" s="30">
        <v>0</v>
      </c>
    </row>
    <row r="205" spans="10:24" x14ac:dyDescent="0.25">
      <c r="J205">
        <v>197</v>
      </c>
      <c r="K205" s="30">
        <v>2334.324065704895</v>
      </c>
      <c r="L205" s="30">
        <v>2410.9132888850017</v>
      </c>
      <c r="M205" s="30">
        <v>2534.4644896486739</v>
      </c>
      <c r="N205" s="30">
        <v>1015.3102248020368</v>
      </c>
      <c r="O205" s="30">
        <v>2016.911162459106</v>
      </c>
      <c r="P205" s="30">
        <v>439.1026079686917</v>
      </c>
      <c r="R205">
        <v>197</v>
      </c>
      <c r="S205" s="30">
        <v>239.46844118523444</v>
      </c>
      <c r="T205" s="30">
        <v>304.15216912066444</v>
      </c>
      <c r="U205" s="30">
        <v>111.61835220003633</v>
      </c>
      <c r="V205" s="30">
        <v>0</v>
      </c>
      <c r="W205" s="30">
        <v>0</v>
      </c>
      <c r="X205" s="30">
        <v>0</v>
      </c>
    </row>
    <row r="206" spans="10:24" x14ac:dyDescent="0.25">
      <c r="J206">
        <v>198</v>
      </c>
      <c r="K206" s="30">
        <v>2782.4588188026669</v>
      </c>
      <c r="L206" s="30">
        <v>1995.8450724175354</v>
      </c>
      <c r="M206" s="30">
        <v>4035.4308491023253</v>
      </c>
      <c r="N206" s="30">
        <v>765.60430607756098</v>
      </c>
      <c r="O206" s="30">
        <v>213.69262542234537</v>
      </c>
      <c r="P206" s="30">
        <v>-1363.2940057922178</v>
      </c>
      <c r="R206">
        <v>198</v>
      </c>
      <c r="S206" s="30">
        <v>252.05361555317057</v>
      </c>
      <c r="T206" s="30">
        <v>174.09443246095259</v>
      </c>
      <c r="U206" s="30">
        <v>155.37437827923566</v>
      </c>
      <c r="V206" s="30">
        <v>0</v>
      </c>
      <c r="W206" s="30">
        <v>0</v>
      </c>
      <c r="X206" s="30">
        <v>0</v>
      </c>
    </row>
    <row r="207" spans="10:24" x14ac:dyDescent="0.25">
      <c r="J207">
        <v>199</v>
      </c>
      <c r="K207" s="30">
        <v>2936.2968377534016</v>
      </c>
      <c r="L207" s="30">
        <v>2598.8018430302695</v>
      </c>
      <c r="M207" s="30">
        <v>2085.7752476315259</v>
      </c>
      <c r="N207" s="30">
        <v>964.75605440468553</v>
      </c>
      <c r="O207" s="30">
        <v>2969.7680798956198</v>
      </c>
      <c r="P207" s="30">
        <v>-977.36727402148153</v>
      </c>
      <c r="R207">
        <v>199</v>
      </c>
      <c r="S207" s="30">
        <v>304.12918710034256</v>
      </c>
      <c r="T207" s="30">
        <v>281.99738748905116</v>
      </c>
      <c r="U207" s="30">
        <v>167.09397254625787</v>
      </c>
      <c r="V207" s="30">
        <v>0</v>
      </c>
      <c r="W207" s="30">
        <v>0</v>
      </c>
      <c r="X207" s="30">
        <v>0</v>
      </c>
    </row>
    <row r="208" spans="10:24" x14ac:dyDescent="0.25">
      <c r="J208">
        <v>200</v>
      </c>
      <c r="K208" s="30">
        <v>2984.3713468490491</v>
      </c>
      <c r="L208" s="30">
        <v>4251.3759697738751</v>
      </c>
      <c r="M208" s="30">
        <v>3568.4677478575159</v>
      </c>
      <c r="N208" s="30">
        <v>2112.7956896494652</v>
      </c>
      <c r="O208" s="30">
        <v>3379.603207246073</v>
      </c>
      <c r="P208" s="30">
        <v>580.48125870824242</v>
      </c>
      <c r="R208">
        <v>200</v>
      </c>
      <c r="S208" s="30">
        <v>391.82886482470769</v>
      </c>
      <c r="T208" s="30">
        <v>373.88599116031662</v>
      </c>
      <c r="U208" s="30">
        <v>99.56618396815918</v>
      </c>
      <c r="V208" s="30">
        <v>86.076319621827565</v>
      </c>
      <c r="W208" s="30">
        <v>74.451731960888196</v>
      </c>
      <c r="X208" s="30">
        <v>0</v>
      </c>
    </row>
    <row r="209" spans="10:24" x14ac:dyDescent="0.25">
      <c r="J209">
        <v>201</v>
      </c>
      <c r="K209" s="30">
        <v>3102.3992941381375</v>
      </c>
      <c r="L209" s="30">
        <v>3358.5661327391363</v>
      </c>
      <c r="M209" s="30">
        <v>3888.7698861871113</v>
      </c>
      <c r="N209" s="30">
        <v>669.64662906639842</v>
      </c>
      <c r="O209" s="30">
        <v>315.9400599951714</v>
      </c>
      <c r="P209" s="30">
        <v>2488.9758367379591</v>
      </c>
      <c r="R209">
        <v>201</v>
      </c>
      <c r="S209" s="30">
        <v>177.54443830496962</v>
      </c>
      <c r="T209" s="30">
        <v>366.24254655048367</v>
      </c>
      <c r="U209" s="30">
        <v>164.42456624277952</v>
      </c>
      <c r="V209" s="30">
        <v>56.295814999881713</v>
      </c>
      <c r="W209" s="30">
        <v>0</v>
      </c>
      <c r="X209" s="30">
        <v>0</v>
      </c>
    </row>
    <row r="210" spans="10:24" x14ac:dyDescent="0.25">
      <c r="J210">
        <v>202</v>
      </c>
      <c r="K210" s="30">
        <v>2715.2636893636145</v>
      </c>
      <c r="L210" s="30">
        <v>2216.7385790607932</v>
      </c>
      <c r="M210" s="30">
        <v>2041.3477853454074</v>
      </c>
      <c r="N210" s="30">
        <v>1249.0111168324829</v>
      </c>
      <c r="O210" s="30">
        <v>850.31809792732292</v>
      </c>
      <c r="P210" s="30">
        <v>275.29944646431886</v>
      </c>
      <c r="R210">
        <v>202</v>
      </c>
      <c r="S210" s="30">
        <v>166.38531997766535</v>
      </c>
      <c r="T210" s="30">
        <v>419.80010447052246</v>
      </c>
      <c r="U210" s="30">
        <v>31.587173613153084</v>
      </c>
      <c r="V210" s="30">
        <v>0</v>
      </c>
      <c r="W210" s="30">
        <v>0</v>
      </c>
      <c r="X210" s="30">
        <v>0</v>
      </c>
    </row>
    <row r="211" spans="10:24" x14ac:dyDescent="0.25">
      <c r="J211">
        <v>203</v>
      </c>
      <c r="K211" s="30">
        <v>2581.3010970981964</v>
      </c>
      <c r="L211" s="30">
        <v>2547.0209167746025</v>
      </c>
      <c r="M211" s="30">
        <v>1849.7664661775657</v>
      </c>
      <c r="N211" s="30">
        <v>190.8173648557995</v>
      </c>
      <c r="O211" s="30">
        <v>1380.7671633566233</v>
      </c>
      <c r="P211" s="30">
        <v>-2444.0648715176239</v>
      </c>
      <c r="R211">
        <v>203</v>
      </c>
      <c r="S211" s="30">
        <v>251.17990900043111</v>
      </c>
      <c r="T211" s="30">
        <v>256.07120113362987</v>
      </c>
      <c r="U211" s="30">
        <v>296.89720540317364</v>
      </c>
      <c r="V211" s="30">
        <v>0</v>
      </c>
      <c r="W211" s="30">
        <v>0</v>
      </c>
      <c r="X211" s="30">
        <v>0</v>
      </c>
    </row>
    <row r="212" spans="10:24" x14ac:dyDescent="0.25">
      <c r="J212">
        <v>204</v>
      </c>
      <c r="K212" s="30">
        <v>3866.3909834371907</v>
      </c>
      <c r="L212" s="30">
        <v>2836.5414701143368</v>
      </c>
      <c r="M212" s="30">
        <v>2988.439782630669</v>
      </c>
      <c r="N212" s="30">
        <v>538.86575932261439</v>
      </c>
      <c r="O212" s="30">
        <v>2141.6003827097029</v>
      </c>
      <c r="P212" s="30">
        <v>-1309.2056344753801</v>
      </c>
      <c r="R212">
        <v>204</v>
      </c>
      <c r="S212" s="30">
        <v>202.8529019593974</v>
      </c>
      <c r="T212" s="30">
        <v>236.26727807431644</v>
      </c>
      <c r="U212" s="30">
        <v>200.81380750868527</v>
      </c>
      <c r="V212" s="30">
        <v>82.263049320965024</v>
      </c>
      <c r="W212" s="30">
        <v>44.553779325614414</v>
      </c>
      <c r="X212" s="30">
        <v>74.390553246174363</v>
      </c>
    </row>
    <row r="213" spans="10:24" x14ac:dyDescent="0.25">
      <c r="J213">
        <v>205</v>
      </c>
      <c r="K213" s="30">
        <v>2168.5277148094538</v>
      </c>
      <c r="L213" s="30">
        <v>4357.7926704964257</v>
      </c>
      <c r="M213" s="30">
        <v>4065.0255352324962</v>
      </c>
      <c r="N213" s="30">
        <v>510.39019702201585</v>
      </c>
      <c r="O213" s="30">
        <v>666.27169510922795</v>
      </c>
      <c r="P213" s="30">
        <v>252.42850542748056</v>
      </c>
      <c r="R213">
        <v>205</v>
      </c>
      <c r="S213" s="30">
        <v>218.69353097340502</v>
      </c>
      <c r="T213" s="30">
        <v>368.58392313271463</v>
      </c>
      <c r="U213" s="30">
        <v>173.77170609175784</v>
      </c>
      <c r="V213" s="30">
        <v>94.19913495270481</v>
      </c>
      <c r="W213" s="30">
        <v>0</v>
      </c>
      <c r="X213" s="30">
        <v>0</v>
      </c>
    </row>
    <row r="214" spans="10:24" x14ac:dyDescent="0.25">
      <c r="J214">
        <v>206</v>
      </c>
      <c r="K214" s="30">
        <v>3634.978122526581</v>
      </c>
      <c r="L214" s="30">
        <v>2497.679133303358</v>
      </c>
      <c r="M214" s="30">
        <v>2239.6417006800139</v>
      </c>
      <c r="N214" s="30">
        <v>-1120.8186238319086</v>
      </c>
      <c r="O214" s="30">
        <v>-57.351651969112027</v>
      </c>
      <c r="P214" s="30">
        <v>-2843.6516329622027</v>
      </c>
      <c r="R214">
        <v>206</v>
      </c>
      <c r="S214" s="30">
        <v>302.41371300990562</v>
      </c>
      <c r="T214" s="30">
        <v>245.83857270447709</v>
      </c>
      <c r="U214" s="30">
        <v>200.88308601959938</v>
      </c>
      <c r="V214" s="30">
        <v>15.432186777802372</v>
      </c>
      <c r="W214" s="30">
        <v>0</v>
      </c>
      <c r="X214" s="30">
        <v>0</v>
      </c>
    </row>
    <row r="215" spans="10:24" x14ac:dyDescent="0.25">
      <c r="J215">
        <v>207</v>
      </c>
      <c r="K215" s="30">
        <v>3902.9711235348077</v>
      </c>
      <c r="L215" s="30">
        <v>2875.9445955801721</v>
      </c>
      <c r="M215" s="30">
        <v>2533.340741118609</v>
      </c>
      <c r="N215" s="30">
        <v>1209.2416868726832</v>
      </c>
      <c r="O215" s="30">
        <v>1194.170170606335</v>
      </c>
      <c r="P215" s="30">
        <v>-2680.8267328447973</v>
      </c>
      <c r="R215">
        <v>207</v>
      </c>
      <c r="S215" s="30">
        <v>387.11837356753318</v>
      </c>
      <c r="T215" s="30">
        <v>215.80839055813038</v>
      </c>
      <c r="U215" s="30">
        <v>107.08365112155406</v>
      </c>
      <c r="V215" s="30">
        <v>39.586441397521753</v>
      </c>
      <c r="W215" s="30">
        <v>0</v>
      </c>
      <c r="X215" s="30">
        <v>0</v>
      </c>
    </row>
    <row r="216" spans="10:24" x14ac:dyDescent="0.25">
      <c r="J216">
        <v>208</v>
      </c>
      <c r="K216" s="30">
        <v>2425.2049283464407</v>
      </c>
      <c r="L216" s="30">
        <v>4408.3159489694017</v>
      </c>
      <c r="M216" s="30">
        <v>2463.1523104212688</v>
      </c>
      <c r="N216" s="30">
        <v>934.93389475382082</v>
      </c>
      <c r="O216" s="30">
        <v>-287.07698946707478</v>
      </c>
      <c r="P216" s="30">
        <v>272.03175709783864</v>
      </c>
      <c r="R216">
        <v>208</v>
      </c>
      <c r="S216" s="30">
        <v>166.60683922278105</v>
      </c>
      <c r="T216" s="30">
        <v>229.01182308111169</v>
      </c>
      <c r="U216" s="30">
        <v>29.84436781047259</v>
      </c>
      <c r="V216" s="30">
        <v>0</v>
      </c>
      <c r="W216" s="30">
        <v>0</v>
      </c>
      <c r="X216" s="30">
        <v>0</v>
      </c>
    </row>
    <row r="217" spans="10:24" x14ac:dyDescent="0.25">
      <c r="J217">
        <v>209</v>
      </c>
      <c r="K217" s="30">
        <v>3084.755969100524</v>
      </c>
      <c r="L217" s="30">
        <v>3854.3033933168849</v>
      </c>
      <c r="M217" s="30">
        <v>3975.8456608551578</v>
      </c>
      <c r="N217" s="30">
        <v>886.92858299335239</v>
      </c>
      <c r="O217" s="30">
        <v>1422.412660790982</v>
      </c>
      <c r="P217" s="30">
        <v>-1039.9118201276242</v>
      </c>
      <c r="R217">
        <v>209</v>
      </c>
      <c r="S217" s="30">
        <v>304.02432410353782</v>
      </c>
      <c r="T217" s="30">
        <v>421.12573454627795</v>
      </c>
      <c r="U217" s="30">
        <v>239.73008296805779</v>
      </c>
      <c r="V217" s="30">
        <v>0</v>
      </c>
      <c r="W217" s="30">
        <v>76.05653137934604</v>
      </c>
      <c r="X217" s="30">
        <v>0</v>
      </c>
    </row>
    <row r="218" spans="10:24" x14ac:dyDescent="0.25">
      <c r="J218">
        <v>210</v>
      </c>
      <c r="K218" s="30">
        <v>3818.7737212063848</v>
      </c>
      <c r="L218" s="30">
        <v>2050.6397424306942</v>
      </c>
      <c r="M218" s="30">
        <v>1907.4108152404415</v>
      </c>
      <c r="N218" s="30">
        <v>1805.0233722571829</v>
      </c>
      <c r="O218" s="30">
        <v>991.27939695707119</v>
      </c>
      <c r="P218" s="30">
        <v>-492.76320918610782</v>
      </c>
      <c r="R218">
        <v>210</v>
      </c>
      <c r="S218" s="30">
        <v>316.50588891861332</v>
      </c>
      <c r="T218" s="30">
        <v>384.84743604248524</v>
      </c>
      <c r="U218" s="30">
        <v>222.08378137861169</v>
      </c>
      <c r="V218" s="30">
        <v>102.89778036678649</v>
      </c>
      <c r="W218" s="30">
        <v>0</v>
      </c>
      <c r="X218" s="30">
        <v>0</v>
      </c>
    </row>
    <row r="219" spans="10:24" x14ac:dyDescent="0.25">
      <c r="J219">
        <v>211</v>
      </c>
      <c r="K219" s="30">
        <v>3537.3744123626147</v>
      </c>
      <c r="L219" s="30">
        <v>3804.2425504715447</v>
      </c>
      <c r="M219" s="30">
        <v>3019.1132793763727</v>
      </c>
      <c r="N219" s="30">
        <v>-1833.2560187685167</v>
      </c>
      <c r="O219" s="30">
        <v>31.428593745705257</v>
      </c>
      <c r="P219" s="30">
        <v>-522.8015920476555</v>
      </c>
      <c r="R219">
        <v>211</v>
      </c>
      <c r="S219" s="30">
        <v>352.87147039923053</v>
      </c>
      <c r="T219" s="30">
        <v>275.12392854005464</v>
      </c>
      <c r="U219" s="30">
        <v>41.785406860947376</v>
      </c>
      <c r="V219" s="30">
        <v>8.9890995022797142</v>
      </c>
      <c r="W219" s="30">
        <v>0</v>
      </c>
      <c r="X219" s="30">
        <v>0</v>
      </c>
    </row>
    <row r="220" spans="10:24" x14ac:dyDescent="0.25">
      <c r="J220">
        <v>212</v>
      </c>
      <c r="K220" s="30">
        <v>3158.1580292866397</v>
      </c>
      <c r="L220" s="30">
        <v>3449.3495481910072</v>
      </c>
      <c r="M220" s="30">
        <v>2237.6481353208619</v>
      </c>
      <c r="N220" s="30">
        <v>434.95008539583796</v>
      </c>
      <c r="O220" s="30">
        <v>2530.6987825231281</v>
      </c>
      <c r="P220" s="30">
        <v>-1254.1517159943078</v>
      </c>
      <c r="R220">
        <v>212</v>
      </c>
      <c r="S220" s="30">
        <v>248.13315016774118</v>
      </c>
      <c r="T220" s="30">
        <v>276.95162835120396</v>
      </c>
      <c r="U220" s="30">
        <v>134.91361879060349</v>
      </c>
      <c r="V220" s="30">
        <v>0</v>
      </c>
      <c r="W220" s="30">
        <v>39.582728916784504</v>
      </c>
      <c r="X220" s="30">
        <v>0</v>
      </c>
    </row>
    <row r="221" spans="10:24" x14ac:dyDescent="0.25">
      <c r="J221">
        <v>213</v>
      </c>
      <c r="K221" s="30">
        <v>4189.0627319829327</v>
      </c>
      <c r="L221" s="30">
        <v>2691.4979331794607</v>
      </c>
      <c r="M221" s="30">
        <v>3595.6291832579818</v>
      </c>
      <c r="N221" s="30">
        <v>-435.13735848791202</v>
      </c>
      <c r="O221" s="30">
        <v>2969.0401021674061</v>
      </c>
      <c r="P221" s="30">
        <v>548.10802322337895</v>
      </c>
      <c r="R221">
        <v>213</v>
      </c>
      <c r="S221" s="30">
        <v>389.86344656749111</v>
      </c>
      <c r="T221" s="30">
        <v>199.83354404383647</v>
      </c>
      <c r="U221" s="30">
        <v>182.56763401752914</v>
      </c>
      <c r="V221" s="30">
        <v>82.051606053665807</v>
      </c>
      <c r="W221" s="30">
        <v>100.04334245074915</v>
      </c>
      <c r="X221" s="30">
        <v>0</v>
      </c>
    </row>
    <row r="222" spans="10:24" x14ac:dyDescent="0.25">
      <c r="J222">
        <v>214</v>
      </c>
      <c r="K222" s="30">
        <v>2656.058254518905</v>
      </c>
      <c r="L222" s="30">
        <v>2586.8009457904677</v>
      </c>
      <c r="M222" s="30">
        <v>1833.9696760546713</v>
      </c>
      <c r="N222" s="30">
        <v>799.54581568223057</v>
      </c>
      <c r="O222" s="30">
        <v>1199.3544427342576</v>
      </c>
      <c r="P222" s="30">
        <v>-1443.0931780371629</v>
      </c>
      <c r="R222">
        <v>214</v>
      </c>
      <c r="S222" s="30">
        <v>226.5140479652402</v>
      </c>
      <c r="T222" s="30">
        <v>379.98399284178913</v>
      </c>
      <c r="U222" s="30">
        <v>91.371725072811842</v>
      </c>
      <c r="V222" s="30">
        <v>0</v>
      </c>
      <c r="W222" s="30">
        <v>56.393103319347233</v>
      </c>
      <c r="X222" s="30">
        <v>0</v>
      </c>
    </row>
    <row r="223" spans="10:24" x14ac:dyDescent="0.25">
      <c r="J223">
        <v>215</v>
      </c>
      <c r="K223" s="30">
        <v>2682.2153203478756</v>
      </c>
      <c r="L223" s="30">
        <v>3154.6481109955803</v>
      </c>
      <c r="M223" s="30">
        <v>2580.0332245064064</v>
      </c>
      <c r="N223" s="30">
        <v>1443.9502972535256</v>
      </c>
      <c r="O223" s="30">
        <v>1638.4301093968061</v>
      </c>
      <c r="P223" s="30">
        <v>-1437.4732331090163</v>
      </c>
      <c r="R223">
        <v>215</v>
      </c>
      <c r="S223" s="30">
        <v>360.24194048179965</v>
      </c>
      <c r="T223" s="30">
        <v>291.87203288312725</v>
      </c>
      <c r="U223" s="30">
        <v>230.81781748760221</v>
      </c>
      <c r="V223" s="30">
        <v>0</v>
      </c>
      <c r="W223" s="30">
        <v>165.16109261189536</v>
      </c>
      <c r="X223" s="30">
        <v>0</v>
      </c>
    </row>
    <row r="224" spans="10:24" x14ac:dyDescent="0.25">
      <c r="J224">
        <v>216</v>
      </c>
      <c r="K224" s="30">
        <v>2002.3512712610191</v>
      </c>
      <c r="L224" s="30">
        <v>3663.5521178383788</v>
      </c>
      <c r="M224" s="30">
        <v>2560.4278376852344</v>
      </c>
      <c r="N224" s="30">
        <v>-1716.7030919490899</v>
      </c>
      <c r="O224" s="30">
        <v>252.55708249123927</v>
      </c>
      <c r="P224" s="30">
        <v>2580.0765430551</v>
      </c>
      <c r="R224">
        <v>216</v>
      </c>
      <c r="S224" s="30">
        <v>222.26560403483126</v>
      </c>
      <c r="T224" s="30">
        <v>348.27469493850623</v>
      </c>
      <c r="U224" s="30">
        <v>143.85172196269582</v>
      </c>
      <c r="V224" s="30">
        <v>0</v>
      </c>
      <c r="W224" s="30">
        <v>43.063195704739314</v>
      </c>
      <c r="X224" s="30">
        <v>0</v>
      </c>
    </row>
    <row r="225" spans="10:24" x14ac:dyDescent="0.25">
      <c r="J225">
        <v>217</v>
      </c>
      <c r="K225" s="30">
        <v>3996.9826439286649</v>
      </c>
      <c r="L225" s="30">
        <v>3958.1765353846099</v>
      </c>
      <c r="M225" s="30">
        <v>3866.8054825778277</v>
      </c>
      <c r="N225" s="30">
        <v>-725.49417106413148</v>
      </c>
      <c r="O225" s="30">
        <v>554.00954767585063</v>
      </c>
      <c r="P225" s="30">
        <v>1357.0268019390096</v>
      </c>
      <c r="R225">
        <v>217</v>
      </c>
      <c r="S225" s="30">
        <v>242.95389460563905</v>
      </c>
      <c r="T225" s="30">
        <v>334.25511301603126</v>
      </c>
      <c r="U225" s="30">
        <v>146.98205223759749</v>
      </c>
      <c r="V225" s="30">
        <v>53.896461341272584</v>
      </c>
      <c r="W225" s="30">
        <v>81.355025523802965</v>
      </c>
      <c r="X225" s="30">
        <v>0</v>
      </c>
    </row>
    <row r="226" spans="10:24" x14ac:dyDescent="0.25">
      <c r="J226">
        <v>218</v>
      </c>
      <c r="K226" s="30">
        <v>2542.1661443118251</v>
      </c>
      <c r="L226" s="30">
        <v>2893.0861172839532</v>
      </c>
      <c r="M226" s="30">
        <v>2401.8292963691833</v>
      </c>
      <c r="N226" s="30">
        <v>261.4155949863698</v>
      </c>
      <c r="O226" s="30">
        <v>1044.2708847172507</v>
      </c>
      <c r="P226" s="30">
        <v>-797.91211269047653</v>
      </c>
      <c r="R226">
        <v>218</v>
      </c>
      <c r="S226" s="30">
        <v>253.75005567567575</v>
      </c>
      <c r="T226" s="30">
        <v>293.37186607242</v>
      </c>
      <c r="U226" s="30">
        <v>229.15278353487844</v>
      </c>
      <c r="V226" s="30">
        <v>14.224313632036569</v>
      </c>
      <c r="W226" s="30">
        <v>61.848179727411093</v>
      </c>
      <c r="X226" s="30">
        <v>0</v>
      </c>
    </row>
    <row r="227" spans="10:24" x14ac:dyDescent="0.25">
      <c r="J227">
        <v>219</v>
      </c>
      <c r="K227" s="30">
        <v>2506.5508784873855</v>
      </c>
      <c r="L227" s="30">
        <v>4326.6048691940168</v>
      </c>
      <c r="M227" s="30">
        <v>2229.837129098913</v>
      </c>
      <c r="N227" s="30">
        <v>168.60953357280232</v>
      </c>
      <c r="O227" s="30">
        <v>1639.1007350721375</v>
      </c>
      <c r="P227" s="30">
        <v>-517.51962252699195</v>
      </c>
      <c r="R227">
        <v>219</v>
      </c>
      <c r="S227" s="30">
        <v>345.71519832610295</v>
      </c>
      <c r="T227" s="30">
        <v>283.25937674065125</v>
      </c>
      <c r="U227" s="30">
        <v>173.6574216995524</v>
      </c>
      <c r="V227" s="30">
        <v>0</v>
      </c>
      <c r="W227" s="30">
        <v>48.002482780609853</v>
      </c>
      <c r="X227" s="30">
        <v>61.72932117196865</v>
      </c>
    </row>
    <row r="228" spans="10:24" x14ac:dyDescent="0.25">
      <c r="J228">
        <v>220</v>
      </c>
      <c r="K228" s="30">
        <v>2675.258101606029</v>
      </c>
      <c r="L228" s="30">
        <v>3553.7333946921922</v>
      </c>
      <c r="M228" s="30">
        <v>2589.4037794369315</v>
      </c>
      <c r="N228" s="30">
        <v>775.69895583914331</v>
      </c>
      <c r="O228" s="30">
        <v>1622.773233451474</v>
      </c>
      <c r="P228" s="30">
        <v>374.59580364690009</v>
      </c>
      <c r="R228">
        <v>220</v>
      </c>
      <c r="S228" s="30">
        <v>173.3780963252018</v>
      </c>
      <c r="T228" s="30">
        <v>266.81292535903248</v>
      </c>
      <c r="U228" s="30">
        <v>129.19390477732099</v>
      </c>
      <c r="V228" s="30">
        <v>74.496334976330331</v>
      </c>
      <c r="W228" s="30">
        <v>257.10256555970909</v>
      </c>
      <c r="X228" s="30">
        <v>0</v>
      </c>
    </row>
    <row r="229" spans="10:24" x14ac:dyDescent="0.25">
      <c r="J229">
        <v>221</v>
      </c>
      <c r="K229" s="30">
        <v>2764.0732635846784</v>
      </c>
      <c r="L229" s="30">
        <v>2746.106364334923</v>
      </c>
      <c r="M229" s="30">
        <v>3676.3397574554124</v>
      </c>
      <c r="N229" s="30">
        <v>229.32651469010943</v>
      </c>
      <c r="O229" s="30">
        <v>2941.9793638400215</v>
      </c>
      <c r="P229" s="30">
        <v>-1184.3805125420367</v>
      </c>
      <c r="R229">
        <v>221</v>
      </c>
      <c r="S229" s="30">
        <v>306.02751949685285</v>
      </c>
      <c r="T229" s="30">
        <v>305.81264957784055</v>
      </c>
      <c r="U229" s="30">
        <v>251.80033759394547</v>
      </c>
      <c r="V229" s="30">
        <v>0</v>
      </c>
      <c r="W229" s="30">
        <v>207.55223874432471</v>
      </c>
      <c r="X229" s="30">
        <v>0</v>
      </c>
    </row>
    <row r="230" spans="10:24" x14ac:dyDescent="0.25">
      <c r="J230">
        <v>222</v>
      </c>
      <c r="K230" s="30">
        <v>4063.2445106718287</v>
      </c>
      <c r="L230" s="30">
        <v>3212.4749308758483</v>
      </c>
      <c r="M230" s="30">
        <v>2017.358242836523</v>
      </c>
      <c r="N230" s="30">
        <v>-533.99509590429989</v>
      </c>
      <c r="O230" s="30">
        <v>620.93647594203503</v>
      </c>
      <c r="P230" s="30">
        <v>-1916.4530804595643</v>
      </c>
      <c r="R230">
        <v>222</v>
      </c>
      <c r="S230" s="30">
        <v>306.56613490668519</v>
      </c>
      <c r="T230" s="30">
        <v>401.59143450274041</v>
      </c>
      <c r="U230" s="30">
        <v>168.54420064154453</v>
      </c>
      <c r="V230" s="30">
        <v>0</v>
      </c>
      <c r="W230" s="30">
        <v>0</v>
      </c>
      <c r="X230" s="30">
        <v>0</v>
      </c>
    </row>
    <row r="231" spans="10:24" x14ac:dyDescent="0.25">
      <c r="J231">
        <v>223</v>
      </c>
      <c r="K231" s="30">
        <v>2455.0085324568904</v>
      </c>
      <c r="L231" s="30">
        <v>2163.5530872548338</v>
      </c>
      <c r="M231" s="30">
        <v>2796.8021520742436</v>
      </c>
      <c r="N231" s="30">
        <v>1979.5042084712068</v>
      </c>
      <c r="O231" s="30">
        <v>567.77803067076457</v>
      </c>
      <c r="P231" s="30">
        <v>489.62506410647347</v>
      </c>
      <c r="R231">
        <v>223</v>
      </c>
      <c r="S231" s="30">
        <v>226.00079225621965</v>
      </c>
      <c r="T231" s="30">
        <v>394.97701247394912</v>
      </c>
      <c r="U231" s="30">
        <v>111.97427991121845</v>
      </c>
      <c r="V231" s="30">
        <v>0</v>
      </c>
      <c r="W231" s="30">
        <v>0</v>
      </c>
      <c r="X231" s="30">
        <v>0</v>
      </c>
    </row>
    <row r="232" spans="10:24" x14ac:dyDescent="0.25">
      <c r="J232">
        <v>224</v>
      </c>
      <c r="K232" s="30">
        <v>3035.3083947833215</v>
      </c>
      <c r="L232" s="30">
        <v>3012.6581306113935</v>
      </c>
      <c r="M232" s="30">
        <v>1551.0640039327513</v>
      </c>
      <c r="N232" s="30">
        <v>832.54351954861704</v>
      </c>
      <c r="O232" s="30">
        <v>755.58158691854351</v>
      </c>
      <c r="P232" s="30">
        <v>-2534.2424730176945</v>
      </c>
      <c r="R232">
        <v>224</v>
      </c>
      <c r="S232" s="30">
        <v>240.35342553546008</v>
      </c>
      <c r="T232" s="30">
        <v>349.54154934534574</v>
      </c>
      <c r="U232" s="30">
        <v>226.71870560874657</v>
      </c>
      <c r="V232" s="30">
        <v>24.055529616848844</v>
      </c>
      <c r="W232" s="30">
        <v>0</v>
      </c>
      <c r="X232" s="30">
        <v>0</v>
      </c>
    </row>
    <row r="233" spans="10:24" x14ac:dyDescent="0.25">
      <c r="J233">
        <v>225</v>
      </c>
      <c r="K233" s="30">
        <v>3727.8374516510225</v>
      </c>
      <c r="L233" s="30">
        <v>2552.1463138287345</v>
      </c>
      <c r="M233" s="30">
        <v>2964.368039829857</v>
      </c>
      <c r="N233" s="30">
        <v>314.49896035009169</v>
      </c>
      <c r="O233" s="30">
        <v>118.76651450134432</v>
      </c>
      <c r="P233" s="30">
        <v>1209.9203723844021</v>
      </c>
      <c r="R233">
        <v>225</v>
      </c>
      <c r="S233" s="30">
        <v>165.93691877922851</v>
      </c>
      <c r="T233" s="30">
        <v>267.87848891954474</v>
      </c>
      <c r="U233" s="30">
        <v>117.44099944002232</v>
      </c>
      <c r="V233" s="30">
        <v>0</v>
      </c>
      <c r="W233" s="30">
        <v>0</v>
      </c>
      <c r="X233" s="30">
        <v>0</v>
      </c>
    </row>
    <row r="234" spans="10:24" x14ac:dyDescent="0.25">
      <c r="J234">
        <v>226</v>
      </c>
      <c r="K234" s="30">
        <v>3709.0768324925384</v>
      </c>
      <c r="L234" s="30">
        <v>3048.2630469746036</v>
      </c>
      <c r="M234" s="30">
        <v>2462.5189505503995</v>
      </c>
      <c r="N234" s="30">
        <v>1354.1324850607798</v>
      </c>
      <c r="O234" s="30">
        <v>713.69702415435313</v>
      </c>
      <c r="P234" s="30">
        <v>-1664.3033483764702</v>
      </c>
      <c r="R234">
        <v>226</v>
      </c>
      <c r="S234" s="30">
        <v>232.37568213429614</v>
      </c>
      <c r="T234" s="30">
        <v>230.50898475843093</v>
      </c>
      <c r="U234" s="30">
        <v>206.73799675740929</v>
      </c>
      <c r="V234" s="30">
        <v>0</v>
      </c>
      <c r="W234" s="30">
        <v>183.57742885378383</v>
      </c>
      <c r="X234" s="30">
        <v>0</v>
      </c>
    </row>
    <row r="235" spans="10:24" x14ac:dyDescent="0.25">
      <c r="J235">
        <v>227</v>
      </c>
      <c r="K235" s="30">
        <v>4242.8296613167677</v>
      </c>
      <c r="L235" s="30">
        <v>2549.8447950777381</v>
      </c>
      <c r="M235" s="30">
        <v>2463.0608347313187</v>
      </c>
      <c r="N235" s="30">
        <v>-282.54628163224788</v>
      </c>
      <c r="O235" s="30">
        <v>503.8183420574569</v>
      </c>
      <c r="P235" s="30">
        <v>-1176.0484016012588</v>
      </c>
      <c r="R235">
        <v>227</v>
      </c>
      <c r="S235" s="30">
        <v>220.37131341655538</v>
      </c>
      <c r="T235" s="30">
        <v>317.03903470609049</v>
      </c>
      <c r="U235" s="30">
        <v>221.37668612454223</v>
      </c>
      <c r="V235" s="30">
        <v>0</v>
      </c>
      <c r="W235" s="30">
        <v>0</v>
      </c>
      <c r="X235" s="30">
        <v>0</v>
      </c>
    </row>
    <row r="236" spans="10:24" x14ac:dyDescent="0.25">
      <c r="J236">
        <v>228</v>
      </c>
      <c r="K236" s="30">
        <v>3307.7551303004639</v>
      </c>
      <c r="L236" s="30">
        <v>2639.3899663233938</v>
      </c>
      <c r="M236" s="30">
        <v>3539.3009542403438</v>
      </c>
      <c r="N236" s="30">
        <v>146.29362346373091</v>
      </c>
      <c r="O236" s="30">
        <v>3082.3235696086676</v>
      </c>
      <c r="P236" s="30">
        <v>-699.43568513116134</v>
      </c>
      <c r="R236">
        <v>228</v>
      </c>
      <c r="S236" s="30">
        <v>254.31046101854088</v>
      </c>
      <c r="T236" s="30">
        <v>215.77787375018448</v>
      </c>
      <c r="U236" s="30">
        <v>74.106688313568441</v>
      </c>
      <c r="V236" s="30">
        <v>0</v>
      </c>
      <c r="W236" s="30">
        <v>0</v>
      </c>
      <c r="X236" s="30">
        <v>0</v>
      </c>
    </row>
    <row r="237" spans="10:24" x14ac:dyDescent="0.25">
      <c r="J237">
        <v>229</v>
      </c>
      <c r="K237" s="30">
        <v>2139.3826000859644</v>
      </c>
      <c r="L237" s="30">
        <v>2660.4540141432676</v>
      </c>
      <c r="M237" s="30">
        <v>2914.5049235078404</v>
      </c>
      <c r="N237" s="30">
        <v>1937.4287685462987</v>
      </c>
      <c r="O237" s="30">
        <v>-1077.8965015331878</v>
      </c>
      <c r="P237" s="30">
        <v>-1240.3147933033561</v>
      </c>
      <c r="R237">
        <v>229</v>
      </c>
      <c r="S237" s="30">
        <v>260.83876031019975</v>
      </c>
      <c r="T237" s="30">
        <v>331.50242653944662</v>
      </c>
      <c r="U237" s="30">
        <v>171.72765035286051</v>
      </c>
      <c r="V237" s="30">
        <v>0</v>
      </c>
      <c r="W237" s="30">
        <v>0</v>
      </c>
      <c r="X237" s="30">
        <v>0</v>
      </c>
    </row>
    <row r="238" spans="10:24" x14ac:dyDescent="0.25">
      <c r="J238">
        <v>230</v>
      </c>
      <c r="K238" s="30">
        <v>3598.9610575078887</v>
      </c>
      <c r="L238" s="30">
        <v>3185.121578948464</v>
      </c>
      <c r="M238" s="30">
        <v>2281.7550191232458</v>
      </c>
      <c r="N238" s="30">
        <v>504.28569219273595</v>
      </c>
      <c r="O238" s="30">
        <v>530.39652926564759</v>
      </c>
      <c r="P238" s="30">
        <v>-110.94700133970218</v>
      </c>
      <c r="R238">
        <v>230</v>
      </c>
      <c r="S238" s="30">
        <v>155.88695168209068</v>
      </c>
      <c r="T238" s="30">
        <v>389.44618933648087</v>
      </c>
      <c r="U238" s="30">
        <v>151.93499160443878</v>
      </c>
      <c r="V238" s="30">
        <v>0</v>
      </c>
      <c r="W238" s="30">
        <v>0</v>
      </c>
      <c r="X238" s="30">
        <v>0</v>
      </c>
    </row>
    <row r="239" spans="10:24" x14ac:dyDescent="0.25">
      <c r="J239">
        <v>231</v>
      </c>
      <c r="K239" s="30">
        <v>2350.5151771644528</v>
      </c>
      <c r="L239" s="30">
        <v>2539.9067524239908</v>
      </c>
      <c r="M239" s="30">
        <v>3914.3293720972329</v>
      </c>
      <c r="N239" s="30">
        <v>1153.9487338965337</v>
      </c>
      <c r="O239" s="30">
        <v>2143.0171639662103</v>
      </c>
      <c r="P239" s="30">
        <v>-109.83585949054395</v>
      </c>
      <c r="R239">
        <v>231</v>
      </c>
      <c r="S239" s="30">
        <v>145.27313659579153</v>
      </c>
      <c r="T239" s="30">
        <v>151.69321028563746</v>
      </c>
      <c r="U239" s="30">
        <v>220.49573406974213</v>
      </c>
      <c r="V239" s="30">
        <v>1.1890814832347587</v>
      </c>
      <c r="W239" s="30">
        <v>4.1852820500149619</v>
      </c>
      <c r="X239" s="30">
        <v>0</v>
      </c>
    </row>
    <row r="240" spans="10:24" x14ac:dyDescent="0.25">
      <c r="J240">
        <v>232</v>
      </c>
      <c r="K240" s="30">
        <v>3017.7076207378932</v>
      </c>
      <c r="L240" s="30">
        <v>2487.2728671881105</v>
      </c>
      <c r="M240" s="30">
        <v>4033.6625433881895</v>
      </c>
      <c r="N240" s="30">
        <v>-755.90074590551194</v>
      </c>
      <c r="O240" s="30">
        <v>-39.642830370567935</v>
      </c>
      <c r="P240" s="30">
        <v>-308.59110547206819</v>
      </c>
      <c r="R240">
        <v>232</v>
      </c>
      <c r="S240" s="30">
        <v>211.57120685847889</v>
      </c>
      <c r="T240" s="30">
        <v>268.42681215144717</v>
      </c>
      <c r="U240" s="30">
        <v>197.40137030284455</v>
      </c>
      <c r="V240" s="30">
        <v>26.184195635782999</v>
      </c>
      <c r="W240" s="30">
        <v>75.633453057481802</v>
      </c>
      <c r="X240" s="30">
        <v>0</v>
      </c>
    </row>
    <row r="241" spans="10:24" x14ac:dyDescent="0.25">
      <c r="J241">
        <v>233</v>
      </c>
      <c r="K241" s="30">
        <v>3840.5702208585471</v>
      </c>
      <c r="L241" s="30">
        <v>3104.8985125621812</v>
      </c>
      <c r="M241" s="30">
        <v>2972.0799520779301</v>
      </c>
      <c r="N241" s="30">
        <v>2489.2522835999225</v>
      </c>
      <c r="O241" s="30">
        <v>654.71570063629679</v>
      </c>
      <c r="P241" s="30">
        <v>-965.18705953291646</v>
      </c>
      <c r="R241">
        <v>233</v>
      </c>
      <c r="S241" s="30">
        <v>100.6129979513953</v>
      </c>
      <c r="T241" s="30">
        <v>333.39039081988005</v>
      </c>
      <c r="U241" s="30">
        <v>254.91145452994823</v>
      </c>
      <c r="V241" s="30">
        <v>0</v>
      </c>
      <c r="W241" s="30">
        <v>0</v>
      </c>
      <c r="X241" s="30">
        <v>0</v>
      </c>
    </row>
    <row r="242" spans="10:24" x14ac:dyDescent="0.25">
      <c r="J242">
        <v>234</v>
      </c>
      <c r="K242" s="30">
        <v>2635.5517422873309</v>
      </c>
      <c r="L242" s="30">
        <v>2499.1539202219351</v>
      </c>
      <c r="M242" s="30">
        <v>2039.5424661464317</v>
      </c>
      <c r="N242" s="30">
        <v>202.58322189737191</v>
      </c>
      <c r="O242" s="30">
        <v>1485.6799125047346</v>
      </c>
      <c r="P242" s="30">
        <v>335.02395162952143</v>
      </c>
      <c r="R242">
        <v>234</v>
      </c>
      <c r="S242" s="30">
        <v>405.99220103101726</v>
      </c>
      <c r="T242" s="30">
        <v>270.84199749651543</v>
      </c>
      <c r="U242" s="30">
        <v>137.03649892916275</v>
      </c>
      <c r="V242" s="30">
        <v>0</v>
      </c>
      <c r="W242" s="30">
        <v>10.240079735284098</v>
      </c>
      <c r="X242" s="30">
        <v>0</v>
      </c>
    </row>
    <row r="243" spans="10:24" x14ac:dyDescent="0.25">
      <c r="J243">
        <v>235</v>
      </c>
      <c r="K243" s="30">
        <v>3106.7619966378261</v>
      </c>
      <c r="L243" s="30">
        <v>2729.1723265012465</v>
      </c>
      <c r="M243" s="30">
        <v>1990.5663985873471</v>
      </c>
      <c r="N243" s="30">
        <v>-113.7275665791567</v>
      </c>
      <c r="O243" s="30">
        <v>128.6265480919501</v>
      </c>
      <c r="P243" s="30">
        <v>-1584.3215458328341</v>
      </c>
      <c r="R243">
        <v>235</v>
      </c>
      <c r="S243" s="30">
        <v>250.34583441148783</v>
      </c>
      <c r="T243" s="30">
        <v>208.83297956396535</v>
      </c>
      <c r="U243" s="30">
        <v>207.12797946657724</v>
      </c>
      <c r="V243" s="30">
        <v>0</v>
      </c>
      <c r="W243" s="30">
        <v>0</v>
      </c>
      <c r="X243" s="30">
        <v>0</v>
      </c>
    </row>
    <row r="244" spans="10:24" x14ac:dyDescent="0.25">
      <c r="J244">
        <v>236</v>
      </c>
      <c r="K244" s="30">
        <v>2929.2071159068573</v>
      </c>
      <c r="L244" s="30">
        <v>4428.4327400472657</v>
      </c>
      <c r="M244" s="30">
        <v>2439.0716697388948</v>
      </c>
      <c r="N244" s="30">
        <v>-857.26586815993051</v>
      </c>
      <c r="O244" s="30">
        <v>1813.0780037661143</v>
      </c>
      <c r="P244" s="30">
        <v>19.210377386953951</v>
      </c>
      <c r="R244">
        <v>236</v>
      </c>
      <c r="S244" s="30">
        <v>278.50913817474975</v>
      </c>
      <c r="T244" s="30">
        <v>232.63428539785667</v>
      </c>
      <c r="U244" s="30">
        <v>69.924096128205463</v>
      </c>
      <c r="V244" s="30">
        <v>0</v>
      </c>
      <c r="W244" s="30">
        <v>6.5612233377324856</v>
      </c>
      <c r="X244" s="30">
        <v>0</v>
      </c>
    </row>
    <row r="245" spans="10:24" x14ac:dyDescent="0.25">
      <c r="J245">
        <v>237</v>
      </c>
      <c r="K245" s="30">
        <v>2571.3678010458971</v>
      </c>
      <c r="L245" s="30">
        <v>3195.5466955860757</v>
      </c>
      <c r="M245" s="30">
        <v>1751.2603867209582</v>
      </c>
      <c r="N245" s="30">
        <v>1836.8116147936053</v>
      </c>
      <c r="O245" s="30">
        <v>-924.75217522310595</v>
      </c>
      <c r="P245" s="30">
        <v>-2034.114126233887</v>
      </c>
      <c r="R245">
        <v>237</v>
      </c>
      <c r="S245" s="30">
        <v>218.64388628080911</v>
      </c>
      <c r="T245" s="30">
        <v>343.85350404070289</v>
      </c>
      <c r="U245" s="30">
        <v>118.34497730544081</v>
      </c>
      <c r="V245" s="30">
        <v>0</v>
      </c>
      <c r="W245" s="30">
        <v>0</v>
      </c>
      <c r="X245" s="30">
        <v>0</v>
      </c>
    </row>
    <row r="246" spans="10:24" x14ac:dyDescent="0.25">
      <c r="J246">
        <v>238</v>
      </c>
      <c r="K246" s="30">
        <v>2262.9331040908278</v>
      </c>
      <c r="L246" s="30">
        <v>2330.5404398236933</v>
      </c>
      <c r="M246" s="30">
        <v>2460.2259102764829</v>
      </c>
      <c r="N246" s="30">
        <v>402.73794518805971</v>
      </c>
      <c r="O246" s="30">
        <v>136.67081153234903</v>
      </c>
      <c r="P246" s="30">
        <v>330.56724488023247</v>
      </c>
      <c r="R246">
        <v>238</v>
      </c>
      <c r="S246" s="30">
        <v>231.29043437881177</v>
      </c>
      <c r="T246" s="30">
        <v>212.27568683283494</v>
      </c>
      <c r="U246" s="30">
        <v>164.51468391432354</v>
      </c>
      <c r="V246" s="30">
        <v>0</v>
      </c>
      <c r="W246" s="30">
        <v>172.19202599862649</v>
      </c>
      <c r="X246" s="30">
        <v>0</v>
      </c>
    </row>
    <row r="247" spans="10:24" x14ac:dyDescent="0.25">
      <c r="J247">
        <v>239</v>
      </c>
      <c r="K247" s="30">
        <v>2592.2876457359835</v>
      </c>
      <c r="L247" s="30">
        <v>3002.575429127538</v>
      </c>
      <c r="M247" s="30">
        <v>1893.4773564170314</v>
      </c>
      <c r="N247" s="30">
        <v>2147.9440254688461</v>
      </c>
      <c r="O247" s="30">
        <v>76.725726126304835</v>
      </c>
      <c r="P247" s="30">
        <v>-64.728454497437269</v>
      </c>
      <c r="R247">
        <v>239</v>
      </c>
      <c r="S247" s="30">
        <v>165.54928013414701</v>
      </c>
      <c r="T247" s="30">
        <v>239.26891616717995</v>
      </c>
      <c r="U247" s="30">
        <v>175.14685094885562</v>
      </c>
      <c r="V247" s="30">
        <v>0</v>
      </c>
      <c r="W247" s="30">
        <v>24.182926113615963</v>
      </c>
      <c r="X247" s="30">
        <v>0</v>
      </c>
    </row>
    <row r="248" spans="10:24" x14ac:dyDescent="0.25">
      <c r="J248">
        <v>240</v>
      </c>
      <c r="K248" s="30">
        <v>3038.5629920088131</v>
      </c>
      <c r="L248" s="30">
        <v>3756.0636537759115</v>
      </c>
      <c r="M248" s="30">
        <v>2552.7735102071711</v>
      </c>
      <c r="N248" s="30">
        <v>1604.649480336825</v>
      </c>
      <c r="O248" s="30">
        <v>2912.6870644902237</v>
      </c>
      <c r="P248" s="30">
        <v>-1197.062343055265</v>
      </c>
      <c r="R248">
        <v>240</v>
      </c>
      <c r="S248" s="30">
        <v>247.75015426484134</v>
      </c>
      <c r="T248" s="30">
        <v>261.23454590392743</v>
      </c>
      <c r="U248" s="30">
        <v>108.59029346178357</v>
      </c>
      <c r="V248" s="30">
        <v>0</v>
      </c>
      <c r="W248" s="30">
        <v>58.218841398086624</v>
      </c>
      <c r="X248" s="30">
        <v>0</v>
      </c>
    </row>
    <row r="249" spans="10:24" x14ac:dyDescent="0.25">
      <c r="J249">
        <v>241</v>
      </c>
      <c r="K249" s="30">
        <v>3722.0502094620838</v>
      </c>
      <c r="L249" s="30">
        <v>2599.9109437740676</v>
      </c>
      <c r="M249" s="30">
        <v>1929.8336361326187</v>
      </c>
      <c r="N249" s="30">
        <v>1477.1772892539011</v>
      </c>
      <c r="O249" s="30">
        <v>2155.673447976822</v>
      </c>
      <c r="P249" s="30">
        <v>379.4846675571107</v>
      </c>
      <c r="R249">
        <v>241</v>
      </c>
      <c r="S249" s="30">
        <v>254.65328341675132</v>
      </c>
      <c r="T249" s="30">
        <v>389.2897685399758</v>
      </c>
      <c r="U249" s="30">
        <v>188.69690116457016</v>
      </c>
      <c r="V249" s="30">
        <v>0</v>
      </c>
      <c r="W249" s="30">
        <v>65.567940729387942</v>
      </c>
      <c r="X249" s="30">
        <v>0</v>
      </c>
    </row>
    <row r="250" spans="10:24" x14ac:dyDescent="0.25">
      <c r="J250">
        <v>242</v>
      </c>
      <c r="K250" s="30">
        <v>4269.5424353405642</v>
      </c>
      <c r="L250" s="30">
        <v>3086.0249996182529</v>
      </c>
      <c r="M250" s="30">
        <v>3170.1146120458288</v>
      </c>
      <c r="N250" s="30">
        <v>-186.00232415022401</v>
      </c>
      <c r="O250" s="30">
        <v>2371.8822257052689</v>
      </c>
      <c r="P250" s="30">
        <v>128.38896736045626</v>
      </c>
      <c r="R250">
        <v>242</v>
      </c>
      <c r="S250" s="30">
        <v>166.54915378236672</v>
      </c>
      <c r="T250" s="30">
        <v>360.04591575208735</v>
      </c>
      <c r="U250" s="30">
        <v>169.74622471135848</v>
      </c>
      <c r="V250" s="30">
        <v>75.218467112304666</v>
      </c>
      <c r="W250" s="30">
        <v>55.65994926505482</v>
      </c>
      <c r="X250" s="30">
        <v>0</v>
      </c>
    </row>
    <row r="251" spans="10:24" x14ac:dyDescent="0.25">
      <c r="J251">
        <v>243</v>
      </c>
      <c r="K251" s="30">
        <v>3858.0048119530329</v>
      </c>
      <c r="L251" s="30">
        <v>3122.0465363581129</v>
      </c>
      <c r="M251" s="30">
        <v>1639.5101138229156</v>
      </c>
      <c r="N251" s="30">
        <v>-218.86751843131697</v>
      </c>
      <c r="O251" s="30">
        <v>1054.4080883262959</v>
      </c>
      <c r="P251" s="30">
        <v>-627.30301914313441</v>
      </c>
      <c r="R251">
        <v>243</v>
      </c>
      <c r="S251" s="30">
        <v>298.65993311226754</v>
      </c>
      <c r="T251" s="30">
        <v>296.62572279562477</v>
      </c>
      <c r="U251" s="30">
        <v>164.29176996979635</v>
      </c>
      <c r="V251" s="30">
        <v>93.989330680542082</v>
      </c>
      <c r="W251" s="30">
        <v>0</v>
      </c>
      <c r="X251" s="30">
        <v>0</v>
      </c>
    </row>
    <row r="252" spans="10:24" x14ac:dyDescent="0.25">
      <c r="J252">
        <v>244</v>
      </c>
      <c r="K252" s="30">
        <v>2513.473159558037</v>
      </c>
      <c r="L252" s="30">
        <v>2064.8901837335438</v>
      </c>
      <c r="M252" s="30">
        <v>1597.0279315643497</v>
      </c>
      <c r="N252" s="30">
        <v>89.481432798534115</v>
      </c>
      <c r="O252" s="30">
        <v>815.58685954980774</v>
      </c>
      <c r="P252" s="30">
        <v>-1410.4708913707764</v>
      </c>
      <c r="R252">
        <v>244</v>
      </c>
      <c r="S252" s="30">
        <v>412.89147441109185</v>
      </c>
      <c r="T252" s="30">
        <v>274.57205588305214</v>
      </c>
      <c r="U252" s="30">
        <v>287.05674687366695</v>
      </c>
      <c r="V252" s="30">
        <v>0</v>
      </c>
      <c r="W252" s="30">
        <v>0</v>
      </c>
      <c r="X252" s="30">
        <v>0</v>
      </c>
    </row>
    <row r="253" spans="10:24" x14ac:dyDescent="0.25">
      <c r="J253">
        <v>245</v>
      </c>
      <c r="K253" s="30">
        <v>2484.832672447084</v>
      </c>
      <c r="L253" s="30">
        <v>4013.040485980036</v>
      </c>
      <c r="M253" s="30">
        <v>3205.7023616436436</v>
      </c>
      <c r="N253" s="30">
        <v>67.596074483841221</v>
      </c>
      <c r="O253" s="30">
        <v>2912.2068521408837</v>
      </c>
      <c r="P253" s="30">
        <v>-1304.146675711344</v>
      </c>
      <c r="R253">
        <v>245</v>
      </c>
      <c r="S253" s="30">
        <v>144.19486193273821</v>
      </c>
      <c r="T253" s="30">
        <v>328.27876172757504</v>
      </c>
      <c r="U253" s="30">
        <v>141.68731420831352</v>
      </c>
      <c r="V253" s="30">
        <v>0</v>
      </c>
      <c r="W253" s="30">
        <v>0</v>
      </c>
      <c r="X253" s="30">
        <v>0</v>
      </c>
    </row>
    <row r="254" spans="10:24" x14ac:dyDescent="0.25">
      <c r="J254">
        <v>246</v>
      </c>
      <c r="K254" s="30">
        <v>3906.2943608998276</v>
      </c>
      <c r="L254" s="30">
        <v>4099.6599912305446</v>
      </c>
      <c r="M254" s="30">
        <v>2343.6789419931019</v>
      </c>
      <c r="N254" s="30">
        <v>16.459011490615012</v>
      </c>
      <c r="O254" s="30">
        <v>2284.609832090684</v>
      </c>
      <c r="P254" s="30">
        <v>-777.36878507227084</v>
      </c>
      <c r="R254">
        <v>246</v>
      </c>
      <c r="S254" s="30">
        <v>231.9961171516274</v>
      </c>
      <c r="T254" s="30">
        <v>228.9118598562261</v>
      </c>
      <c r="U254" s="30">
        <v>84.993925311306839</v>
      </c>
      <c r="V254" s="30">
        <v>0</v>
      </c>
      <c r="W254" s="30">
        <v>0</v>
      </c>
      <c r="X254" s="30">
        <v>0</v>
      </c>
    </row>
    <row r="255" spans="10:24" x14ac:dyDescent="0.25">
      <c r="J255">
        <v>247</v>
      </c>
      <c r="K255" s="30">
        <v>2184.1252334633809</v>
      </c>
      <c r="L255" s="30">
        <v>3983.2823431564402</v>
      </c>
      <c r="M255" s="30">
        <v>3187.4327142682814</v>
      </c>
      <c r="N255" s="30">
        <v>-783.01769699070519</v>
      </c>
      <c r="O255" s="30">
        <v>4617.6650813301148</v>
      </c>
      <c r="P255" s="30">
        <v>-830.58074193896482</v>
      </c>
      <c r="R255">
        <v>247</v>
      </c>
      <c r="S255" s="30">
        <v>310.75653885571154</v>
      </c>
      <c r="T255" s="30">
        <v>348.83934829065481</v>
      </c>
      <c r="U255" s="30">
        <v>180.95812130273293</v>
      </c>
      <c r="V255" s="30">
        <v>0</v>
      </c>
      <c r="W255" s="30">
        <v>0</v>
      </c>
      <c r="X255" s="30">
        <v>0</v>
      </c>
    </row>
    <row r="256" spans="10:24" x14ac:dyDescent="0.25">
      <c r="J256">
        <v>248</v>
      </c>
      <c r="K256" s="30">
        <v>2642.7624974833743</v>
      </c>
      <c r="L256" s="30">
        <v>2842.6693903242922</v>
      </c>
      <c r="M256" s="30">
        <v>3500.5866851802725</v>
      </c>
      <c r="N256" s="30">
        <v>-1472.6526982711312</v>
      </c>
      <c r="O256" s="30">
        <v>793.65281575257541</v>
      </c>
      <c r="P256" s="30">
        <v>-326.40402822545911</v>
      </c>
      <c r="R256">
        <v>248</v>
      </c>
      <c r="S256" s="30">
        <v>265.74654080688566</v>
      </c>
      <c r="T256" s="30">
        <v>266.36127613937902</v>
      </c>
      <c r="U256" s="30">
        <v>227.21043018050946</v>
      </c>
      <c r="V256" s="30">
        <v>0</v>
      </c>
      <c r="W256" s="30">
        <v>0</v>
      </c>
      <c r="X256" s="30">
        <v>0</v>
      </c>
    </row>
    <row r="257" spans="10:24" x14ac:dyDescent="0.25">
      <c r="J257">
        <v>249</v>
      </c>
      <c r="K257" s="30">
        <v>2159.5496961862332</v>
      </c>
      <c r="L257" s="30">
        <v>2509.2600288055937</v>
      </c>
      <c r="M257" s="30">
        <v>1652.6326868914966</v>
      </c>
      <c r="N257" s="30">
        <v>1606.3049448041666</v>
      </c>
      <c r="O257" s="30">
        <v>607.87608255838313</v>
      </c>
      <c r="P257" s="30">
        <v>-1244.7954927909623</v>
      </c>
      <c r="R257">
        <v>249</v>
      </c>
      <c r="S257" s="30">
        <v>289.83459840978765</v>
      </c>
      <c r="T257" s="30">
        <v>207.80893447819375</v>
      </c>
      <c r="U257" s="30">
        <v>121.94157935534065</v>
      </c>
      <c r="V257" s="30">
        <v>0</v>
      </c>
      <c r="W257" s="30">
        <v>4.9846381399967186</v>
      </c>
      <c r="X257" s="30">
        <v>0</v>
      </c>
    </row>
    <row r="258" spans="10:24" x14ac:dyDescent="0.25">
      <c r="J258">
        <v>250</v>
      </c>
      <c r="K258" s="30">
        <v>2212.2523759617825</v>
      </c>
      <c r="L258" s="30">
        <v>2469.0221446554692</v>
      </c>
      <c r="M258" s="30">
        <v>2863.5494308555535</v>
      </c>
      <c r="N258" s="30">
        <v>1.4292147429641773</v>
      </c>
      <c r="O258" s="30">
        <v>939.12710310429247</v>
      </c>
      <c r="P258" s="30">
        <v>-900.95713823170354</v>
      </c>
      <c r="R258">
        <v>250</v>
      </c>
      <c r="S258" s="30">
        <v>123.96682688664475</v>
      </c>
      <c r="T258" s="30">
        <v>167.40859148052192</v>
      </c>
      <c r="U258" s="30">
        <v>150.306949919381</v>
      </c>
      <c r="V258" s="30">
        <v>95.069832097582719</v>
      </c>
      <c r="W258" s="30">
        <v>59.052962703886919</v>
      </c>
      <c r="X258" s="30">
        <v>0</v>
      </c>
    </row>
    <row r="259" spans="10:24" x14ac:dyDescent="0.25">
      <c r="J259">
        <v>251</v>
      </c>
      <c r="K259" s="30">
        <v>2359.4735935173339</v>
      </c>
      <c r="L259" s="30">
        <v>4306.8376505427332</v>
      </c>
      <c r="M259" s="30">
        <v>2378.9059084048499</v>
      </c>
      <c r="N259" s="30">
        <v>-805.01308252587751</v>
      </c>
      <c r="O259" s="30">
        <v>3020.5667511009333</v>
      </c>
      <c r="P259" s="30">
        <v>-937.59670946060032</v>
      </c>
      <c r="R259">
        <v>251</v>
      </c>
      <c r="S259" s="30">
        <v>339.29329780692996</v>
      </c>
      <c r="T259" s="30">
        <v>384.7484728601836</v>
      </c>
      <c r="U259" s="30">
        <v>147.97588890418308</v>
      </c>
      <c r="V259" s="30">
        <v>0</v>
      </c>
      <c r="W259" s="30">
        <v>0</v>
      </c>
      <c r="X259" s="30">
        <v>0</v>
      </c>
    </row>
    <row r="260" spans="10:24" x14ac:dyDescent="0.25">
      <c r="J260">
        <v>252</v>
      </c>
      <c r="K260" s="30">
        <v>3398.8733838053899</v>
      </c>
      <c r="L260" s="30">
        <v>2101.8241238348683</v>
      </c>
      <c r="M260" s="30">
        <v>2346.9988895424322</v>
      </c>
      <c r="N260" s="30">
        <v>303.64725742232258</v>
      </c>
      <c r="O260" s="30">
        <v>1508.0424383340023</v>
      </c>
      <c r="P260" s="30">
        <v>213.96303218416233</v>
      </c>
      <c r="R260">
        <v>252</v>
      </c>
      <c r="S260" s="30">
        <v>280.91124079441948</v>
      </c>
      <c r="T260" s="30">
        <v>270.22390236544402</v>
      </c>
      <c r="U260" s="30">
        <v>87.793815507818579</v>
      </c>
      <c r="V260" s="30">
        <v>0</v>
      </c>
      <c r="W260" s="30">
        <v>0</v>
      </c>
      <c r="X260" s="30">
        <v>0</v>
      </c>
    </row>
    <row r="261" spans="10:24" x14ac:dyDescent="0.25">
      <c r="J261">
        <v>253</v>
      </c>
      <c r="K261" s="30">
        <v>2283.3195724581428</v>
      </c>
      <c r="L261" s="30">
        <v>3335.4773234859003</v>
      </c>
      <c r="M261" s="30">
        <v>2564.5828655754458</v>
      </c>
      <c r="N261" s="30">
        <v>-2339.0624071405737</v>
      </c>
      <c r="O261" s="30">
        <v>280.26170427955549</v>
      </c>
      <c r="P261" s="30">
        <v>-2034.5213355729338</v>
      </c>
      <c r="R261">
        <v>253</v>
      </c>
      <c r="S261" s="30">
        <v>235.54800833475446</v>
      </c>
      <c r="T261" s="30">
        <v>243.41559799830725</v>
      </c>
      <c r="U261" s="30">
        <v>53.473586547562491</v>
      </c>
      <c r="V261" s="30">
        <v>0</v>
      </c>
      <c r="W261" s="30">
        <v>0</v>
      </c>
      <c r="X261" s="30">
        <v>0</v>
      </c>
    </row>
    <row r="262" spans="10:24" x14ac:dyDescent="0.25">
      <c r="J262">
        <v>254</v>
      </c>
      <c r="K262" s="30">
        <v>2504.1134295830916</v>
      </c>
      <c r="L262" s="30">
        <v>2593.5460450494584</v>
      </c>
      <c r="M262" s="30">
        <v>3973.7996974685352</v>
      </c>
      <c r="N262" s="30">
        <v>2505.6121204411738</v>
      </c>
      <c r="O262" s="30">
        <v>3828.4012736822979</v>
      </c>
      <c r="P262" s="30">
        <v>50.550844493894147</v>
      </c>
      <c r="R262">
        <v>254</v>
      </c>
      <c r="S262" s="30">
        <v>181.73765394846936</v>
      </c>
      <c r="T262" s="30">
        <v>339.45894570936269</v>
      </c>
      <c r="U262" s="30">
        <v>156.15389124624096</v>
      </c>
      <c r="V262" s="30">
        <v>203.44789401846373</v>
      </c>
      <c r="W262" s="30">
        <v>0</v>
      </c>
      <c r="X262" s="30">
        <v>0</v>
      </c>
    </row>
    <row r="263" spans="10:24" x14ac:dyDescent="0.25">
      <c r="J263">
        <v>255</v>
      </c>
      <c r="K263" s="30">
        <v>4227.0616099546878</v>
      </c>
      <c r="L263" s="30">
        <v>3311.9188933677206</v>
      </c>
      <c r="M263" s="30">
        <v>3579.5523188084762</v>
      </c>
      <c r="N263" s="30">
        <v>1202.3721137157208</v>
      </c>
      <c r="O263" s="30">
        <v>1416.2922253311781</v>
      </c>
      <c r="P263" s="30">
        <v>-792.13427442927059</v>
      </c>
      <c r="R263">
        <v>255</v>
      </c>
      <c r="S263" s="30">
        <v>373.74759593229913</v>
      </c>
      <c r="T263" s="30">
        <v>276.50005500422435</v>
      </c>
      <c r="U263" s="30">
        <v>177.68321344554369</v>
      </c>
      <c r="V263" s="30">
        <v>11.185752920319032</v>
      </c>
      <c r="W263" s="30">
        <v>0</v>
      </c>
      <c r="X263" s="30">
        <v>0</v>
      </c>
    </row>
    <row r="264" spans="10:24" x14ac:dyDescent="0.25">
      <c r="J264">
        <v>256</v>
      </c>
      <c r="K264" s="30">
        <v>4034.9847267333571</v>
      </c>
      <c r="L264" s="30">
        <v>2656.1298881640646</v>
      </c>
      <c r="M264" s="30">
        <v>1502.227756187353</v>
      </c>
      <c r="N264" s="30">
        <v>50.148013759438072</v>
      </c>
      <c r="O264" s="30">
        <v>-1094.1600961642034</v>
      </c>
      <c r="P264" s="30">
        <v>-2475.7680487808429</v>
      </c>
      <c r="R264">
        <v>256</v>
      </c>
      <c r="S264" s="30">
        <v>226.35537584887805</v>
      </c>
      <c r="T264" s="30">
        <v>216.93262988396418</v>
      </c>
      <c r="U264" s="30">
        <v>127.02758837123423</v>
      </c>
      <c r="V264" s="30">
        <v>0</v>
      </c>
      <c r="W264" s="30">
        <v>0</v>
      </c>
      <c r="X264" s="30">
        <v>0</v>
      </c>
    </row>
    <row r="265" spans="10:24" x14ac:dyDescent="0.25">
      <c r="J265">
        <v>257</v>
      </c>
      <c r="K265" s="30">
        <v>4184.6026852483828</v>
      </c>
      <c r="L265" s="30">
        <v>3647.8204872267597</v>
      </c>
      <c r="M265" s="30">
        <v>2539.2162032197011</v>
      </c>
      <c r="N265" s="30">
        <v>1210.4504932200553</v>
      </c>
      <c r="O265" s="30">
        <v>594.67704696096189</v>
      </c>
      <c r="P265" s="30">
        <v>395.91288672864084</v>
      </c>
      <c r="R265">
        <v>257</v>
      </c>
      <c r="S265" s="30">
        <v>377.60908008792944</v>
      </c>
      <c r="T265" s="30">
        <v>320.71352177108963</v>
      </c>
      <c r="U265" s="30">
        <v>168.95357969203673</v>
      </c>
      <c r="V265" s="30">
        <v>0</v>
      </c>
      <c r="W265" s="30">
        <v>124.20935981067248</v>
      </c>
      <c r="X265" s="30">
        <v>0</v>
      </c>
    </row>
    <row r="266" spans="10:24" x14ac:dyDescent="0.25">
      <c r="J266">
        <v>258</v>
      </c>
      <c r="K266" s="30">
        <v>2710.8509734390918</v>
      </c>
      <c r="L266" s="30">
        <v>1891.6070896414885</v>
      </c>
      <c r="M266" s="30">
        <v>2326.3003221427125</v>
      </c>
      <c r="N266" s="30">
        <v>-337.0019153223966</v>
      </c>
      <c r="O266" s="30">
        <v>1836.1484148739446</v>
      </c>
      <c r="P266" s="30">
        <v>-503.15136349077784</v>
      </c>
      <c r="R266">
        <v>258</v>
      </c>
      <c r="S266" s="30">
        <v>253.72621582650424</v>
      </c>
      <c r="T266" s="30">
        <v>239.2044125319145</v>
      </c>
      <c r="U266" s="30">
        <v>146.36084340481915</v>
      </c>
      <c r="V266" s="30">
        <v>0</v>
      </c>
      <c r="W266" s="30">
        <v>0</v>
      </c>
      <c r="X266" s="30">
        <v>0</v>
      </c>
    </row>
    <row r="267" spans="10:24" x14ac:dyDescent="0.25">
      <c r="J267">
        <v>259</v>
      </c>
      <c r="K267" s="30">
        <v>2795.7185982880319</v>
      </c>
      <c r="L267" s="30">
        <v>2850.8332773464481</v>
      </c>
      <c r="M267" s="30">
        <v>3652.0257126965839</v>
      </c>
      <c r="N267" s="30">
        <v>-373.55984446376078</v>
      </c>
      <c r="O267" s="30">
        <v>2498.4970715592299</v>
      </c>
      <c r="P267" s="30">
        <v>-1255.4444295525973</v>
      </c>
      <c r="R267">
        <v>259</v>
      </c>
      <c r="S267" s="30">
        <v>299.83137034147416</v>
      </c>
      <c r="T267" s="30">
        <v>282.07344238342773</v>
      </c>
      <c r="U267" s="30">
        <v>124.44359638709392</v>
      </c>
      <c r="V267" s="30">
        <v>0</v>
      </c>
      <c r="W267" s="30">
        <v>8.4885558480435748</v>
      </c>
      <c r="X267" s="30">
        <v>0</v>
      </c>
    </row>
    <row r="268" spans="10:24" x14ac:dyDescent="0.25">
      <c r="J268">
        <v>260</v>
      </c>
      <c r="K268" s="30">
        <v>1884.4842285152249</v>
      </c>
      <c r="L268" s="30">
        <v>3282.7158024988553</v>
      </c>
      <c r="M268" s="30">
        <v>1909.6305722840398</v>
      </c>
      <c r="N268" s="30">
        <v>-30.283211199539437</v>
      </c>
      <c r="O268" s="30">
        <v>2752.4756408878511</v>
      </c>
      <c r="P268" s="30">
        <v>-2438.4017220029536</v>
      </c>
      <c r="R268">
        <v>260</v>
      </c>
      <c r="S268" s="30">
        <v>252.47398488170347</v>
      </c>
      <c r="T268" s="30">
        <v>246.89828780370499</v>
      </c>
      <c r="U268" s="30">
        <v>129.81371705325927</v>
      </c>
      <c r="V268" s="30">
        <v>0</v>
      </c>
      <c r="W268" s="30">
        <v>179.29521414615402</v>
      </c>
      <c r="X268" s="30">
        <v>0</v>
      </c>
    </row>
    <row r="269" spans="10:24" x14ac:dyDescent="0.25">
      <c r="J269">
        <v>261</v>
      </c>
      <c r="K269" s="30">
        <v>2531.551610039478</v>
      </c>
      <c r="L269" s="30">
        <v>2105.4869252346116</v>
      </c>
      <c r="M269" s="30">
        <v>2112.1753054323399</v>
      </c>
      <c r="N269" s="30">
        <v>1421.2467450496843</v>
      </c>
      <c r="O269" s="30">
        <v>-796.31872006008598</v>
      </c>
      <c r="P269" s="30">
        <v>-1553.0074730446222</v>
      </c>
      <c r="R269">
        <v>261</v>
      </c>
      <c r="S269" s="30">
        <v>244.32142560341509</v>
      </c>
      <c r="T269" s="30">
        <v>339.90008853399308</v>
      </c>
      <c r="U269" s="30">
        <v>236.99836279146041</v>
      </c>
      <c r="V269" s="30">
        <v>0</v>
      </c>
      <c r="W269" s="30">
        <v>0</v>
      </c>
      <c r="X269" s="30">
        <v>0</v>
      </c>
    </row>
    <row r="270" spans="10:24" x14ac:dyDescent="0.25">
      <c r="J270">
        <v>262</v>
      </c>
      <c r="K270" s="30">
        <v>2976.7814596646072</v>
      </c>
      <c r="L270" s="30">
        <v>3995.1723178078291</v>
      </c>
      <c r="M270" s="30">
        <v>2698.0354985301165</v>
      </c>
      <c r="N270" s="30">
        <v>-50.720025143291423</v>
      </c>
      <c r="O270" s="30">
        <v>-411.58769391722672</v>
      </c>
      <c r="P270" s="30">
        <v>30.954372562930075</v>
      </c>
      <c r="R270">
        <v>262</v>
      </c>
      <c r="S270" s="30">
        <v>212.21345838794667</v>
      </c>
      <c r="T270" s="30">
        <v>198.71064662847954</v>
      </c>
      <c r="U270" s="30">
        <v>210.45891253787357</v>
      </c>
      <c r="V270" s="30">
        <v>0</v>
      </c>
      <c r="W270" s="30">
        <v>14.996604184996386</v>
      </c>
      <c r="X270" s="30">
        <v>0</v>
      </c>
    </row>
    <row r="271" spans="10:24" x14ac:dyDescent="0.25">
      <c r="J271">
        <v>263</v>
      </c>
      <c r="K271" s="30">
        <v>2818.8045636646884</v>
      </c>
      <c r="L271" s="30">
        <v>3663.1837313770752</v>
      </c>
      <c r="M271" s="30">
        <v>4012.9606879635494</v>
      </c>
      <c r="N271" s="30">
        <v>-1273.6869176635291</v>
      </c>
      <c r="O271" s="30">
        <v>1617.3013314478776</v>
      </c>
      <c r="P271" s="30">
        <v>-672.15740757922413</v>
      </c>
      <c r="R271">
        <v>263</v>
      </c>
      <c r="S271" s="30">
        <v>277.1854309586754</v>
      </c>
      <c r="T271" s="30">
        <v>308.74709803740507</v>
      </c>
      <c r="U271" s="30">
        <v>287.55094557100466</v>
      </c>
      <c r="V271" s="30">
        <v>0</v>
      </c>
      <c r="W271" s="30">
        <v>53.350812366751143</v>
      </c>
      <c r="X271" s="30">
        <v>0</v>
      </c>
    </row>
    <row r="272" spans="10:24" x14ac:dyDescent="0.25">
      <c r="J272">
        <v>264</v>
      </c>
      <c r="K272" s="30">
        <v>2533.5066507622419</v>
      </c>
      <c r="L272" s="30">
        <v>2896.6166585349483</v>
      </c>
      <c r="M272" s="30">
        <v>2716.0042927341774</v>
      </c>
      <c r="N272" s="30">
        <v>1673.6151824420313</v>
      </c>
      <c r="O272" s="30">
        <v>2495.2121769339383</v>
      </c>
      <c r="P272" s="30">
        <v>227.95733796596596</v>
      </c>
      <c r="R272">
        <v>264</v>
      </c>
      <c r="S272" s="30">
        <v>222.56172318370307</v>
      </c>
      <c r="T272" s="30">
        <v>307.10417548276706</v>
      </c>
      <c r="U272" s="30">
        <v>197.22707090566075</v>
      </c>
      <c r="V272" s="30">
        <v>0</v>
      </c>
      <c r="W272" s="30">
        <v>0</v>
      </c>
      <c r="X272" s="30">
        <v>0</v>
      </c>
    </row>
    <row r="273" spans="10:24" x14ac:dyDescent="0.25">
      <c r="J273">
        <v>265</v>
      </c>
      <c r="K273" s="30">
        <v>2578.0017544365578</v>
      </c>
      <c r="L273" s="30">
        <v>2904.3548479699939</v>
      </c>
      <c r="M273" s="30">
        <v>2344.701319542216</v>
      </c>
      <c r="N273" s="30">
        <v>-1589.9367956320875</v>
      </c>
      <c r="O273" s="30">
        <v>2190.7650573434521</v>
      </c>
      <c r="P273" s="30">
        <v>-2200.5241635988214</v>
      </c>
      <c r="R273">
        <v>265</v>
      </c>
      <c r="S273" s="30">
        <v>239.26317891328205</v>
      </c>
      <c r="T273" s="30">
        <v>213.77594003006624</v>
      </c>
      <c r="U273" s="30">
        <v>237.60862680103872</v>
      </c>
      <c r="V273" s="30">
        <v>134.63006520840293</v>
      </c>
      <c r="W273" s="30">
        <v>57.890096152388992</v>
      </c>
      <c r="X273" s="30">
        <v>0</v>
      </c>
    </row>
    <row r="274" spans="10:24" x14ac:dyDescent="0.25">
      <c r="J274">
        <v>266</v>
      </c>
      <c r="K274" s="30">
        <v>1603.2869061347028</v>
      </c>
      <c r="L274" s="30">
        <v>4042.0381158696528</v>
      </c>
      <c r="M274" s="30">
        <v>2967.0799211325843</v>
      </c>
      <c r="N274" s="30">
        <v>373.3657370024348</v>
      </c>
      <c r="O274" s="30">
        <v>798.19895199945677</v>
      </c>
      <c r="P274" s="30">
        <v>-282.23231407593812</v>
      </c>
      <c r="R274">
        <v>266</v>
      </c>
      <c r="S274" s="30">
        <v>252.43123291809724</v>
      </c>
      <c r="T274" s="30">
        <v>332.96094639811099</v>
      </c>
      <c r="U274" s="30">
        <v>143.12463363167478</v>
      </c>
      <c r="V274" s="30">
        <v>0</v>
      </c>
      <c r="W274" s="30">
        <v>93.242975318290519</v>
      </c>
      <c r="X274" s="30">
        <v>0</v>
      </c>
    </row>
    <row r="275" spans="10:24" x14ac:dyDescent="0.25">
      <c r="J275">
        <v>267</v>
      </c>
      <c r="K275" s="30">
        <v>3676.9381521285786</v>
      </c>
      <c r="L275" s="30">
        <v>2676.9560495133705</v>
      </c>
      <c r="M275" s="30">
        <v>2996.8971898506043</v>
      </c>
      <c r="N275" s="30">
        <v>-1402.6799174807529</v>
      </c>
      <c r="O275" s="30">
        <v>-935.89694630128724</v>
      </c>
      <c r="P275" s="30">
        <v>-63.977519611933531</v>
      </c>
      <c r="R275">
        <v>267</v>
      </c>
      <c r="S275" s="30">
        <v>203.5610147348392</v>
      </c>
      <c r="T275" s="30">
        <v>285.24886246404725</v>
      </c>
      <c r="U275" s="30">
        <v>124.6701515504239</v>
      </c>
      <c r="V275" s="30">
        <v>90.555353202806373</v>
      </c>
      <c r="W275" s="30">
        <v>0</v>
      </c>
      <c r="X275" s="30">
        <v>0</v>
      </c>
    </row>
    <row r="276" spans="10:24" x14ac:dyDescent="0.25">
      <c r="J276">
        <v>268</v>
      </c>
      <c r="K276" s="30">
        <v>2341.1898478421936</v>
      </c>
      <c r="L276" s="30">
        <v>2971.9736185979368</v>
      </c>
      <c r="M276" s="30">
        <v>2115.0373452372787</v>
      </c>
      <c r="N276" s="30">
        <v>-265.07716696948955</v>
      </c>
      <c r="O276" s="30">
        <v>801.20720595504372</v>
      </c>
      <c r="P276" s="30">
        <v>-145.83764687727762</v>
      </c>
      <c r="R276">
        <v>268</v>
      </c>
      <c r="S276" s="30">
        <v>342.44774067477437</v>
      </c>
      <c r="T276" s="30">
        <v>377.70460474458002</v>
      </c>
      <c r="U276" s="30">
        <v>144.88779786128822</v>
      </c>
      <c r="V276" s="30">
        <v>0</v>
      </c>
      <c r="W276" s="30">
        <v>92.117906792369354</v>
      </c>
      <c r="X276" s="30">
        <v>0</v>
      </c>
    </row>
    <row r="277" spans="10:24" x14ac:dyDescent="0.25">
      <c r="J277">
        <v>269</v>
      </c>
      <c r="K277" s="30">
        <v>2374.0607408571545</v>
      </c>
      <c r="L277" s="30">
        <v>2282.2741015570368</v>
      </c>
      <c r="M277" s="30">
        <v>3687.0693054155809</v>
      </c>
      <c r="N277" s="30">
        <v>521.40056145890776</v>
      </c>
      <c r="O277" s="30">
        <v>1273.7354551676872</v>
      </c>
      <c r="P277" s="30">
        <v>-762.09702377475878</v>
      </c>
      <c r="R277">
        <v>269</v>
      </c>
      <c r="S277" s="30">
        <v>252.43130197553234</v>
      </c>
      <c r="T277" s="30">
        <v>416.80983918414074</v>
      </c>
      <c r="U277" s="30">
        <v>242.61185729475045</v>
      </c>
      <c r="V277" s="30">
        <v>49.1693010342766</v>
      </c>
      <c r="W277" s="30">
        <v>66.825729531156924</v>
      </c>
      <c r="X277" s="30">
        <v>0</v>
      </c>
    </row>
    <row r="278" spans="10:24" x14ac:dyDescent="0.25">
      <c r="J278">
        <v>270</v>
      </c>
      <c r="K278" s="30">
        <v>1775.1305580260878</v>
      </c>
      <c r="L278" s="30">
        <v>2649.5972677240106</v>
      </c>
      <c r="M278" s="30">
        <v>2794.858799800013</v>
      </c>
      <c r="N278" s="30">
        <v>782.54241120786901</v>
      </c>
      <c r="O278" s="30">
        <v>676.73513215985531</v>
      </c>
      <c r="P278" s="30">
        <v>586.93375398483931</v>
      </c>
      <c r="R278">
        <v>270</v>
      </c>
      <c r="S278" s="30">
        <v>295.96018214737097</v>
      </c>
      <c r="T278" s="30">
        <v>363.7986328292107</v>
      </c>
      <c r="U278" s="30">
        <v>98.300733608256792</v>
      </c>
      <c r="V278" s="30">
        <v>0</v>
      </c>
      <c r="W278" s="30">
        <v>0</v>
      </c>
      <c r="X278" s="30">
        <v>0</v>
      </c>
    </row>
    <row r="279" spans="10:24" x14ac:dyDescent="0.25">
      <c r="J279">
        <v>271</v>
      </c>
      <c r="K279" s="30">
        <v>2611.543368304644</v>
      </c>
      <c r="L279" s="30">
        <v>1997.7980483272163</v>
      </c>
      <c r="M279" s="30">
        <v>1868.4113717702089</v>
      </c>
      <c r="N279" s="30">
        <v>1031.3642616727984</v>
      </c>
      <c r="O279" s="30">
        <v>-1079.2244147964393</v>
      </c>
      <c r="P279" s="30">
        <v>-1816.0355967016148</v>
      </c>
      <c r="R279">
        <v>271</v>
      </c>
      <c r="S279" s="30">
        <v>395.55234180721533</v>
      </c>
      <c r="T279" s="30">
        <v>269.29504990519604</v>
      </c>
      <c r="U279" s="30">
        <v>154.07921525566564</v>
      </c>
      <c r="V279" s="30">
        <v>57.748509592019616</v>
      </c>
      <c r="W279" s="30">
        <v>24.556865871886657</v>
      </c>
      <c r="X279" s="30">
        <v>0</v>
      </c>
    </row>
    <row r="280" spans="10:24" x14ac:dyDescent="0.25">
      <c r="J280">
        <v>272</v>
      </c>
      <c r="K280" s="30">
        <v>2707.5827170610796</v>
      </c>
      <c r="L280" s="30">
        <v>3949.5239548134291</v>
      </c>
      <c r="M280" s="30">
        <v>4035.7607807550917</v>
      </c>
      <c r="N280" s="30">
        <v>38.919081483506488</v>
      </c>
      <c r="O280" s="30">
        <v>1584.1734227104225</v>
      </c>
      <c r="P280" s="30">
        <v>-1240.8644473881905</v>
      </c>
      <c r="R280">
        <v>272</v>
      </c>
      <c r="S280" s="30">
        <v>220.0303632877816</v>
      </c>
      <c r="T280" s="30">
        <v>240.24230230657469</v>
      </c>
      <c r="U280" s="30">
        <v>107.83056997608605</v>
      </c>
      <c r="V280" s="30">
        <v>76.534229803037874</v>
      </c>
      <c r="W280" s="30">
        <v>0</v>
      </c>
      <c r="X280" s="30">
        <v>0</v>
      </c>
    </row>
    <row r="281" spans="10:24" x14ac:dyDescent="0.25">
      <c r="J281">
        <v>273</v>
      </c>
      <c r="K281" s="30">
        <v>2150.6632976594301</v>
      </c>
      <c r="L281" s="30">
        <v>2649.019484752685</v>
      </c>
      <c r="M281" s="30">
        <v>3817.6586001737651</v>
      </c>
      <c r="N281" s="30">
        <v>1680.8270646757383</v>
      </c>
      <c r="O281" s="30">
        <v>1616.9165676857328</v>
      </c>
      <c r="P281" s="30">
        <v>1378.6809575385332</v>
      </c>
      <c r="R281">
        <v>273</v>
      </c>
      <c r="S281" s="30">
        <v>344.42103457312044</v>
      </c>
      <c r="T281" s="30">
        <v>377.46141575017731</v>
      </c>
      <c r="U281" s="30">
        <v>193.70864216900378</v>
      </c>
      <c r="V281" s="30">
        <v>0</v>
      </c>
      <c r="W281" s="30">
        <v>0</v>
      </c>
      <c r="X281" s="30">
        <v>0</v>
      </c>
    </row>
    <row r="282" spans="10:24" x14ac:dyDescent="0.25">
      <c r="J282">
        <v>274</v>
      </c>
      <c r="K282" s="30">
        <v>2373.6393564042355</v>
      </c>
      <c r="L282" s="30">
        <v>4136.2621726472225</v>
      </c>
      <c r="M282" s="30">
        <v>2475.418456976674</v>
      </c>
      <c r="N282" s="30">
        <v>2102.3226882803447</v>
      </c>
      <c r="O282" s="30">
        <v>1917.9051594368138</v>
      </c>
      <c r="P282" s="30">
        <v>1046.2873284889865</v>
      </c>
      <c r="R282">
        <v>274</v>
      </c>
      <c r="S282" s="30">
        <v>205.68818142267668</v>
      </c>
      <c r="T282" s="30">
        <v>362.66945603809006</v>
      </c>
      <c r="U282" s="30">
        <v>287.82287081578187</v>
      </c>
      <c r="V282" s="30">
        <v>0</v>
      </c>
      <c r="W282" s="30">
        <v>50.453485218796914</v>
      </c>
      <c r="X282" s="30">
        <v>0</v>
      </c>
    </row>
    <row r="283" spans="10:24" x14ac:dyDescent="0.25">
      <c r="J283">
        <v>275</v>
      </c>
      <c r="K283" s="30">
        <v>1775.8620525420974</v>
      </c>
      <c r="L283" s="30">
        <v>3343.1103116190752</v>
      </c>
      <c r="M283" s="30">
        <v>2090.167415857311</v>
      </c>
      <c r="N283" s="30">
        <v>-34.609523751821143</v>
      </c>
      <c r="O283" s="30">
        <v>105.02645541226593</v>
      </c>
      <c r="P283" s="30">
        <v>-1428.9994944726459</v>
      </c>
      <c r="R283">
        <v>275</v>
      </c>
      <c r="S283" s="30">
        <v>301.98284015236504</v>
      </c>
      <c r="T283" s="30">
        <v>256.1878312820964</v>
      </c>
      <c r="U283" s="30">
        <v>183.06364752108928</v>
      </c>
      <c r="V283" s="30">
        <v>19.321745154858604</v>
      </c>
      <c r="W283" s="30">
        <v>0</v>
      </c>
      <c r="X283" s="30">
        <v>0</v>
      </c>
    </row>
    <row r="284" spans="10:24" x14ac:dyDescent="0.25">
      <c r="J284">
        <v>276</v>
      </c>
      <c r="K284" s="30">
        <v>2438.8628584414428</v>
      </c>
      <c r="L284" s="30">
        <v>2065.5485308416119</v>
      </c>
      <c r="M284" s="30">
        <v>3510.323496373243</v>
      </c>
      <c r="N284" s="30">
        <v>1346.7496392025259</v>
      </c>
      <c r="O284" s="30">
        <v>355.16849376840946</v>
      </c>
      <c r="P284" s="30">
        <v>-774.19921219726439</v>
      </c>
      <c r="R284">
        <v>276</v>
      </c>
      <c r="S284" s="30">
        <v>349.09296145877596</v>
      </c>
      <c r="T284" s="30">
        <v>329.72163537787071</v>
      </c>
      <c r="U284" s="30">
        <v>129.9613587145414</v>
      </c>
      <c r="V284" s="30">
        <v>0</v>
      </c>
      <c r="W284" s="30">
        <v>0</v>
      </c>
      <c r="X284" s="30">
        <v>0</v>
      </c>
    </row>
    <row r="285" spans="10:24" x14ac:dyDescent="0.25">
      <c r="J285">
        <v>277</v>
      </c>
      <c r="K285" s="30">
        <v>2431.3401105063986</v>
      </c>
      <c r="L285" s="30">
        <v>2677.9161637648444</v>
      </c>
      <c r="M285" s="30">
        <v>2436.5165949893549</v>
      </c>
      <c r="N285" s="30">
        <v>1314.4447163837849</v>
      </c>
      <c r="O285" s="30">
        <v>2206.0390402306248</v>
      </c>
      <c r="P285" s="30">
        <v>872.63462362393784</v>
      </c>
      <c r="R285">
        <v>277</v>
      </c>
      <c r="S285" s="30">
        <v>310.43491113202015</v>
      </c>
      <c r="T285" s="30">
        <v>291.33768718784302</v>
      </c>
      <c r="U285" s="30">
        <v>218.49840871868821</v>
      </c>
      <c r="V285" s="30">
        <v>0</v>
      </c>
      <c r="W285" s="30">
        <v>0</v>
      </c>
      <c r="X285" s="30">
        <v>184.16795879282495</v>
      </c>
    </row>
    <row r="286" spans="10:24" x14ac:dyDescent="0.25">
      <c r="J286">
        <v>278</v>
      </c>
      <c r="K286" s="30">
        <v>2693.3888849802042</v>
      </c>
      <c r="L286" s="30">
        <v>3017.563243149727</v>
      </c>
      <c r="M286" s="30">
        <v>3385.3561143819461</v>
      </c>
      <c r="N286" s="30">
        <v>2760.2072090602669</v>
      </c>
      <c r="O286" s="30">
        <v>1889.961211566063</v>
      </c>
      <c r="P286" s="30">
        <v>-49.832879438677082</v>
      </c>
      <c r="R286">
        <v>278</v>
      </c>
      <c r="S286" s="30">
        <v>354.94188688130231</v>
      </c>
      <c r="T286" s="30">
        <v>245.49878842495133</v>
      </c>
      <c r="U286" s="30">
        <v>132.69149665147415</v>
      </c>
      <c r="V286" s="30">
        <v>0</v>
      </c>
      <c r="W286" s="30">
        <v>0</v>
      </c>
      <c r="X286" s="30">
        <v>0</v>
      </c>
    </row>
    <row r="287" spans="10:24" x14ac:dyDescent="0.25">
      <c r="J287">
        <v>279</v>
      </c>
      <c r="K287" s="30">
        <v>3168.6608240846676</v>
      </c>
      <c r="L287" s="30">
        <v>3226.2155286956736</v>
      </c>
      <c r="M287" s="30">
        <v>1835.2899894243592</v>
      </c>
      <c r="N287" s="30">
        <v>-382.9002759060013</v>
      </c>
      <c r="O287" s="30">
        <v>1097.3363980871463</v>
      </c>
      <c r="P287" s="30">
        <v>2167.8675459776314</v>
      </c>
      <c r="R287">
        <v>279</v>
      </c>
      <c r="S287" s="30">
        <v>323.85399793345221</v>
      </c>
      <c r="T287" s="30">
        <v>355.63832942389843</v>
      </c>
      <c r="U287" s="30">
        <v>117.71747449540572</v>
      </c>
      <c r="V287" s="30">
        <v>77.908173591227751</v>
      </c>
      <c r="W287" s="30">
        <v>0</v>
      </c>
      <c r="X287" s="30">
        <v>0</v>
      </c>
    </row>
    <row r="288" spans="10:24" x14ac:dyDescent="0.25">
      <c r="J288">
        <v>280</v>
      </c>
      <c r="K288" s="30">
        <v>4274.1373666187646</v>
      </c>
      <c r="L288" s="30">
        <v>3658.8650795409171</v>
      </c>
      <c r="M288" s="30">
        <v>2412.8781643208672</v>
      </c>
      <c r="N288" s="30">
        <v>-925.17232785014403</v>
      </c>
      <c r="O288" s="30">
        <v>695.35726323385188</v>
      </c>
      <c r="P288" s="30">
        <v>-2927.517130137765</v>
      </c>
      <c r="R288">
        <v>280</v>
      </c>
      <c r="S288" s="30">
        <v>260.09611732657618</v>
      </c>
      <c r="T288" s="30">
        <v>230.85789815923954</v>
      </c>
      <c r="U288" s="30">
        <v>180.50054690399537</v>
      </c>
      <c r="V288" s="30">
        <v>0</v>
      </c>
      <c r="W288" s="30">
        <v>0</v>
      </c>
      <c r="X288" s="30">
        <v>34.136539225847287</v>
      </c>
    </row>
    <row r="289" spans="10:24" x14ac:dyDescent="0.25">
      <c r="J289">
        <v>281</v>
      </c>
      <c r="K289" s="30">
        <v>2494.585920368093</v>
      </c>
      <c r="L289" s="30">
        <v>1899.4589941842114</v>
      </c>
      <c r="M289" s="30">
        <v>2823.5050257692715</v>
      </c>
      <c r="N289" s="30">
        <v>-606.90444267746352</v>
      </c>
      <c r="O289" s="30">
        <v>3530.0091231791603</v>
      </c>
      <c r="P289" s="30">
        <v>-828.91130737603453</v>
      </c>
      <c r="R289">
        <v>281</v>
      </c>
      <c r="S289" s="30">
        <v>312.15969674784822</v>
      </c>
      <c r="T289" s="30">
        <v>319.28761298862662</v>
      </c>
      <c r="U289" s="30">
        <v>153.19998088813583</v>
      </c>
      <c r="V289" s="30">
        <v>37.22683417221981</v>
      </c>
      <c r="W289" s="30">
        <v>152.53205702076235</v>
      </c>
      <c r="X289" s="30">
        <v>0</v>
      </c>
    </row>
    <row r="290" spans="10:24" x14ac:dyDescent="0.25">
      <c r="J290">
        <v>282</v>
      </c>
      <c r="K290" s="30">
        <v>2064.0355712000883</v>
      </c>
      <c r="L290" s="30">
        <v>3351.9071963744063</v>
      </c>
      <c r="M290" s="30">
        <v>3186.7002623962867</v>
      </c>
      <c r="N290" s="30">
        <v>162.658146625462</v>
      </c>
      <c r="O290" s="30">
        <v>432.22895634516681</v>
      </c>
      <c r="P290" s="30">
        <v>-146.95011904803687</v>
      </c>
      <c r="R290">
        <v>282</v>
      </c>
      <c r="S290" s="30">
        <v>247.15699996302067</v>
      </c>
      <c r="T290" s="30">
        <v>321.71538195261871</v>
      </c>
      <c r="U290" s="30">
        <v>131.57260417622234</v>
      </c>
      <c r="V290" s="30">
        <v>0</v>
      </c>
      <c r="W290" s="30">
        <v>0</v>
      </c>
      <c r="X290" s="30">
        <v>0</v>
      </c>
    </row>
    <row r="291" spans="10:24" x14ac:dyDescent="0.25">
      <c r="J291">
        <v>283</v>
      </c>
      <c r="K291" s="30">
        <v>2370.0424243967868</v>
      </c>
      <c r="L291" s="30">
        <v>3290.4352051791084</v>
      </c>
      <c r="M291" s="30">
        <v>2702.1246957988733</v>
      </c>
      <c r="N291" s="30">
        <v>676.92050659243705</v>
      </c>
      <c r="O291" s="30">
        <v>1386.4499111593059</v>
      </c>
      <c r="P291" s="30">
        <v>360.97913044624147</v>
      </c>
      <c r="R291">
        <v>283</v>
      </c>
      <c r="S291" s="30">
        <v>295.58705721357046</v>
      </c>
      <c r="T291" s="30">
        <v>310.31869146633085</v>
      </c>
      <c r="U291" s="30">
        <v>149.84394022447509</v>
      </c>
      <c r="V291" s="30">
        <v>0</v>
      </c>
      <c r="W291" s="30">
        <v>0</v>
      </c>
      <c r="X291" s="30">
        <v>0</v>
      </c>
    </row>
    <row r="292" spans="10:24" x14ac:dyDescent="0.25">
      <c r="J292">
        <v>284</v>
      </c>
      <c r="K292" s="30">
        <v>4198.4877060117014</v>
      </c>
      <c r="L292" s="30">
        <v>3885.0870800221583</v>
      </c>
      <c r="M292" s="30">
        <v>3961.0916966839168</v>
      </c>
      <c r="N292" s="30">
        <v>1162.2646647794827</v>
      </c>
      <c r="O292" s="30">
        <v>1349.5649673497992</v>
      </c>
      <c r="P292" s="30">
        <v>-562.67123450488361</v>
      </c>
      <c r="R292">
        <v>284</v>
      </c>
      <c r="S292" s="30">
        <v>259.69223253075489</v>
      </c>
      <c r="T292" s="30">
        <v>193.15574076539122</v>
      </c>
      <c r="U292" s="30">
        <v>225.27611479150721</v>
      </c>
      <c r="V292" s="30">
        <v>0</v>
      </c>
      <c r="W292" s="30">
        <v>44.401707543987868</v>
      </c>
      <c r="X292" s="30">
        <v>0</v>
      </c>
    </row>
    <row r="293" spans="10:24" x14ac:dyDescent="0.25">
      <c r="J293">
        <v>285</v>
      </c>
      <c r="K293" s="30">
        <v>2080.0900259478117</v>
      </c>
      <c r="L293" s="30">
        <v>3291.8984065659947</v>
      </c>
      <c r="M293" s="30">
        <v>2115.5100058063613</v>
      </c>
      <c r="N293" s="30">
        <v>577.2964993757696</v>
      </c>
      <c r="O293" s="30">
        <v>2782.6194725638425</v>
      </c>
      <c r="P293" s="30">
        <v>94.621922523438116</v>
      </c>
      <c r="R293">
        <v>285</v>
      </c>
      <c r="S293" s="30">
        <v>193.86759796138404</v>
      </c>
      <c r="T293" s="30">
        <v>219.4142208851153</v>
      </c>
      <c r="U293" s="30">
        <v>176.91666763768779</v>
      </c>
      <c r="V293" s="30">
        <v>0</v>
      </c>
      <c r="W293" s="30">
        <v>0</v>
      </c>
      <c r="X293" s="30">
        <v>0</v>
      </c>
    </row>
    <row r="294" spans="10:24" x14ac:dyDescent="0.25">
      <c r="J294">
        <v>286</v>
      </c>
      <c r="K294" s="30">
        <v>3389.7092476368371</v>
      </c>
      <c r="L294" s="30">
        <v>2996.5071554190295</v>
      </c>
      <c r="M294" s="30">
        <v>2655.7037917626371</v>
      </c>
      <c r="N294" s="30">
        <v>520.53613062635213</v>
      </c>
      <c r="O294" s="30">
        <v>1400.6034611362484</v>
      </c>
      <c r="P294" s="30">
        <v>700.49979772608003</v>
      </c>
      <c r="R294">
        <v>286</v>
      </c>
      <c r="S294" s="30">
        <v>256.41949552969322</v>
      </c>
      <c r="T294" s="30">
        <v>341.21771547738985</v>
      </c>
      <c r="U294" s="30">
        <v>125.11932289666419</v>
      </c>
      <c r="V294" s="30">
        <v>0</v>
      </c>
      <c r="W294" s="30">
        <v>35.074482678765776</v>
      </c>
      <c r="X294" s="30">
        <v>0</v>
      </c>
    </row>
    <row r="295" spans="10:24" x14ac:dyDescent="0.25">
      <c r="J295">
        <v>287</v>
      </c>
      <c r="K295" s="30">
        <v>2727.9192066267174</v>
      </c>
      <c r="L295" s="30">
        <v>2808.3611748517019</v>
      </c>
      <c r="M295" s="30">
        <v>2421.3234036395679</v>
      </c>
      <c r="N295" s="30">
        <v>951.17551941790407</v>
      </c>
      <c r="O295" s="30">
        <v>2052.9128087347608</v>
      </c>
      <c r="P295" s="30">
        <v>552.47062854891374</v>
      </c>
      <c r="R295">
        <v>287</v>
      </c>
      <c r="S295" s="30">
        <v>347.55895756841909</v>
      </c>
      <c r="T295" s="30">
        <v>304.69566927199844</v>
      </c>
      <c r="U295" s="30">
        <v>224.87025715826962</v>
      </c>
      <c r="V295" s="30">
        <v>28.077378550978437</v>
      </c>
      <c r="W295" s="30">
        <v>0</v>
      </c>
      <c r="X295" s="30">
        <v>0</v>
      </c>
    </row>
    <row r="296" spans="10:24" x14ac:dyDescent="0.25">
      <c r="J296">
        <v>288</v>
      </c>
      <c r="K296" s="30">
        <v>1753.1667330455316</v>
      </c>
      <c r="L296" s="30">
        <v>2567.4220417510169</v>
      </c>
      <c r="M296" s="30">
        <v>3347.7859697313156</v>
      </c>
      <c r="N296" s="30">
        <v>443.27133309284</v>
      </c>
      <c r="O296" s="30">
        <v>-472.09138354723655</v>
      </c>
      <c r="P296" s="30">
        <v>1056.0205948761504</v>
      </c>
      <c r="R296">
        <v>288</v>
      </c>
      <c r="S296" s="30">
        <v>265.02987185510915</v>
      </c>
      <c r="T296" s="30">
        <v>314.62287935675613</v>
      </c>
      <c r="U296" s="30">
        <v>80.96761240790488</v>
      </c>
      <c r="V296" s="30">
        <v>0</v>
      </c>
      <c r="W296" s="30">
        <v>38.509562158969516</v>
      </c>
      <c r="X296" s="30">
        <v>0</v>
      </c>
    </row>
    <row r="297" spans="10:24" x14ac:dyDescent="0.25">
      <c r="J297">
        <v>289</v>
      </c>
      <c r="K297" s="30">
        <v>4106.1110808954008</v>
      </c>
      <c r="L297" s="30">
        <v>1873.9324998410107</v>
      </c>
      <c r="M297" s="30">
        <v>3739.3462063387219</v>
      </c>
      <c r="N297" s="30">
        <v>1352.4254506021971</v>
      </c>
      <c r="O297" s="30">
        <v>480.60695674330145</v>
      </c>
      <c r="P297" s="30">
        <v>1376.1909914063035</v>
      </c>
      <c r="R297">
        <v>289</v>
      </c>
      <c r="S297" s="30">
        <v>207.87898657590603</v>
      </c>
      <c r="T297" s="30">
        <v>303.52246905454427</v>
      </c>
      <c r="U297" s="30">
        <v>165.16007599116534</v>
      </c>
      <c r="V297" s="30">
        <v>122.44167570850482</v>
      </c>
      <c r="W297" s="30">
        <v>0</v>
      </c>
      <c r="X297" s="30">
        <v>0</v>
      </c>
    </row>
    <row r="298" spans="10:24" x14ac:dyDescent="0.25">
      <c r="J298">
        <v>290</v>
      </c>
      <c r="K298" s="30">
        <v>2379.3330662954113</v>
      </c>
      <c r="L298" s="30">
        <v>4117.1871846543818</v>
      </c>
      <c r="M298" s="30">
        <v>2633.6161477168298</v>
      </c>
      <c r="N298" s="30">
        <v>780.4031488843666</v>
      </c>
      <c r="O298" s="30">
        <v>1419.749043367382</v>
      </c>
      <c r="P298" s="30">
        <v>-602.16890980328026</v>
      </c>
      <c r="R298">
        <v>290</v>
      </c>
      <c r="S298" s="30">
        <v>206.42633735468894</v>
      </c>
      <c r="T298" s="30">
        <v>227.08848939714642</v>
      </c>
      <c r="U298" s="30">
        <v>186.82926864862264</v>
      </c>
      <c r="V298" s="30">
        <v>29.425962246026529</v>
      </c>
      <c r="W298" s="30">
        <v>21.717106229615183</v>
      </c>
      <c r="X298" s="30">
        <v>0</v>
      </c>
    </row>
    <row r="299" spans="10:24" x14ac:dyDescent="0.25">
      <c r="J299">
        <v>291</v>
      </c>
      <c r="K299" s="30">
        <v>4131.5837302103646</v>
      </c>
      <c r="L299" s="30">
        <v>2803.015654938125</v>
      </c>
      <c r="M299" s="30">
        <v>3198.5629165554278</v>
      </c>
      <c r="N299" s="30">
        <v>1288.7581598986799</v>
      </c>
      <c r="O299" s="30">
        <v>-998.09941610719579</v>
      </c>
      <c r="P299" s="30">
        <v>428.55070897510723</v>
      </c>
      <c r="R299">
        <v>291</v>
      </c>
      <c r="S299" s="30">
        <v>322.11082779426084</v>
      </c>
      <c r="T299" s="30">
        <v>354.6926170480458</v>
      </c>
      <c r="U299" s="30">
        <v>133.28622484976603</v>
      </c>
      <c r="V299" s="30">
        <v>0</v>
      </c>
      <c r="W299" s="30">
        <v>117.5586376699797</v>
      </c>
      <c r="X299" s="30">
        <v>0</v>
      </c>
    </row>
    <row r="300" spans="10:24" x14ac:dyDescent="0.25">
      <c r="J300">
        <v>292</v>
      </c>
      <c r="K300" s="30">
        <v>3633.812481199604</v>
      </c>
      <c r="L300" s="30">
        <v>2443.5176229028266</v>
      </c>
      <c r="M300" s="30">
        <v>2772.8396497040785</v>
      </c>
      <c r="N300" s="30">
        <v>1462.5407693999268</v>
      </c>
      <c r="O300" s="30">
        <v>448.62641191590956</v>
      </c>
      <c r="P300" s="30">
        <v>-1541.7287378766077</v>
      </c>
      <c r="R300">
        <v>292</v>
      </c>
      <c r="S300" s="30">
        <v>254.09196960434417</v>
      </c>
      <c r="T300" s="30">
        <v>328.15703741558821</v>
      </c>
      <c r="U300" s="30">
        <v>219.69731785908488</v>
      </c>
      <c r="V300" s="30">
        <v>68.749149572717442</v>
      </c>
      <c r="W300" s="30">
        <v>0</v>
      </c>
      <c r="X300" s="30">
        <v>0</v>
      </c>
    </row>
    <row r="301" spans="10:24" x14ac:dyDescent="0.25">
      <c r="J301">
        <v>293</v>
      </c>
      <c r="K301" s="30">
        <v>2731.0653323488741</v>
      </c>
      <c r="L301" s="30">
        <v>2817.8563634701432</v>
      </c>
      <c r="M301" s="30">
        <v>2500.8062708224079</v>
      </c>
      <c r="N301" s="30">
        <v>2426.1329658844288</v>
      </c>
      <c r="O301" s="30">
        <v>1402.290969509153</v>
      </c>
      <c r="P301" s="30">
        <v>1534.8875947723145</v>
      </c>
      <c r="R301">
        <v>293</v>
      </c>
      <c r="S301" s="30">
        <v>268.87750801511288</v>
      </c>
      <c r="T301" s="30">
        <v>360.54613424497285</v>
      </c>
      <c r="U301" s="30">
        <v>126.27133155411804</v>
      </c>
      <c r="V301" s="30">
        <v>0</v>
      </c>
      <c r="W301" s="30">
        <v>0</v>
      </c>
      <c r="X301" s="30">
        <v>0</v>
      </c>
    </row>
    <row r="302" spans="10:24" x14ac:dyDescent="0.25">
      <c r="J302">
        <v>294</v>
      </c>
      <c r="K302" s="30">
        <v>3305.4446711930887</v>
      </c>
      <c r="L302" s="30">
        <v>3643.4449794842922</v>
      </c>
      <c r="M302" s="30">
        <v>1767.2093694904779</v>
      </c>
      <c r="N302" s="30">
        <v>-961.72540475473397</v>
      </c>
      <c r="O302" s="30">
        <v>1323.6223547279551</v>
      </c>
      <c r="P302" s="30">
        <v>1030.8058490098483</v>
      </c>
      <c r="R302">
        <v>294</v>
      </c>
      <c r="S302" s="30">
        <v>253.55431881652964</v>
      </c>
      <c r="T302" s="30">
        <v>150.87408375180297</v>
      </c>
      <c r="U302" s="30">
        <v>175.28765404525518</v>
      </c>
      <c r="V302" s="30">
        <v>27.312411002896283</v>
      </c>
      <c r="W302" s="30">
        <v>0</v>
      </c>
      <c r="X302" s="30">
        <v>0</v>
      </c>
    </row>
    <row r="303" spans="10:24" x14ac:dyDescent="0.25">
      <c r="J303">
        <v>295</v>
      </c>
      <c r="K303" s="30">
        <v>3894.890009673134</v>
      </c>
      <c r="L303" s="30">
        <v>3067.422115602928</v>
      </c>
      <c r="M303" s="30">
        <v>3989.2604960797225</v>
      </c>
      <c r="N303" s="30">
        <v>-662.55090449871841</v>
      </c>
      <c r="O303" s="30">
        <v>1822.8419606249226</v>
      </c>
      <c r="P303" s="30">
        <v>-1408.825328844734</v>
      </c>
      <c r="R303">
        <v>295</v>
      </c>
      <c r="S303" s="30">
        <v>257.50692576871216</v>
      </c>
      <c r="T303" s="30">
        <v>257.83719876371822</v>
      </c>
      <c r="U303" s="30">
        <v>18.843657974214921</v>
      </c>
      <c r="V303" s="30">
        <v>145.57273374259813</v>
      </c>
      <c r="W303" s="30">
        <v>0</v>
      </c>
      <c r="X303" s="30">
        <v>0</v>
      </c>
    </row>
    <row r="304" spans="10:24" x14ac:dyDescent="0.25">
      <c r="J304">
        <v>296</v>
      </c>
      <c r="K304" s="30">
        <v>2961.771743395057</v>
      </c>
      <c r="L304" s="30">
        <v>2109.3380818426349</v>
      </c>
      <c r="M304" s="30">
        <v>1613.9212408190724</v>
      </c>
      <c r="N304" s="30">
        <v>-789.78869507135187</v>
      </c>
      <c r="O304" s="30">
        <v>-705.64662525700078</v>
      </c>
      <c r="P304" s="30">
        <v>595.58253878279174</v>
      </c>
      <c r="R304">
        <v>296</v>
      </c>
      <c r="S304" s="30">
        <v>164.90930822247327</v>
      </c>
      <c r="T304" s="30">
        <v>377.40627084084275</v>
      </c>
      <c r="U304" s="30">
        <v>83.428065283809929</v>
      </c>
      <c r="V304" s="30">
        <v>19.853696698074032</v>
      </c>
      <c r="W304" s="30">
        <v>0</v>
      </c>
      <c r="X304" s="30">
        <v>0</v>
      </c>
    </row>
    <row r="305" spans="10:24" x14ac:dyDescent="0.25">
      <c r="J305">
        <v>297</v>
      </c>
      <c r="K305" s="30">
        <v>3589.889616447012</v>
      </c>
      <c r="L305" s="30">
        <v>3892.3290561593203</v>
      </c>
      <c r="M305" s="30">
        <v>3369.0573209662812</v>
      </c>
      <c r="N305" s="30">
        <v>322.64574745209757</v>
      </c>
      <c r="O305" s="30">
        <v>2078.0694171793466</v>
      </c>
      <c r="P305" s="30">
        <v>-2672.3651492625668</v>
      </c>
      <c r="R305">
        <v>297</v>
      </c>
      <c r="S305" s="30">
        <v>332.19356012930911</v>
      </c>
      <c r="T305" s="30">
        <v>413.95423655324976</v>
      </c>
      <c r="U305" s="30">
        <v>125.66035434063531</v>
      </c>
      <c r="V305" s="30">
        <v>0</v>
      </c>
      <c r="W305" s="30">
        <v>0</v>
      </c>
      <c r="X305" s="30">
        <v>182.34274770424491</v>
      </c>
    </row>
    <row r="306" spans="10:24" x14ac:dyDescent="0.25">
      <c r="J306">
        <v>298</v>
      </c>
      <c r="K306" s="30">
        <v>3085.8415491342735</v>
      </c>
      <c r="L306" s="30">
        <v>2693.5488693317898</v>
      </c>
      <c r="M306" s="30">
        <v>1876.0709218012362</v>
      </c>
      <c r="N306" s="30">
        <v>97.207179467803144</v>
      </c>
      <c r="O306" s="30">
        <v>1552.7991883794884</v>
      </c>
      <c r="P306" s="30">
        <v>31.054666580530466</v>
      </c>
      <c r="R306">
        <v>298</v>
      </c>
      <c r="S306" s="30">
        <v>233.88839082047519</v>
      </c>
      <c r="T306" s="30">
        <v>253.62766551242458</v>
      </c>
      <c r="U306" s="30">
        <v>96.925448966316026</v>
      </c>
      <c r="V306" s="30">
        <v>0</v>
      </c>
      <c r="W306" s="30">
        <v>13.229276740299838</v>
      </c>
      <c r="X306" s="30">
        <v>0</v>
      </c>
    </row>
    <row r="307" spans="10:24" x14ac:dyDescent="0.25">
      <c r="J307">
        <v>299</v>
      </c>
      <c r="K307" s="30">
        <v>2726.9063564315215</v>
      </c>
      <c r="L307" s="30">
        <v>2303.8430355715373</v>
      </c>
      <c r="M307" s="30">
        <v>3716.6542445428154</v>
      </c>
      <c r="N307" s="30">
        <v>1775.3320284295496</v>
      </c>
      <c r="O307" s="30">
        <v>903.0924369851291</v>
      </c>
      <c r="P307" s="30">
        <v>-2271.3930549089837</v>
      </c>
      <c r="R307">
        <v>299</v>
      </c>
      <c r="S307" s="30">
        <v>324.32154170542299</v>
      </c>
      <c r="T307" s="30">
        <v>375.53929137892294</v>
      </c>
      <c r="U307" s="30">
        <v>113.26735098215897</v>
      </c>
      <c r="V307" s="30">
        <v>51.243884244430546</v>
      </c>
      <c r="W307" s="30">
        <v>0</v>
      </c>
      <c r="X307" s="30">
        <v>0</v>
      </c>
    </row>
    <row r="308" spans="10:24" x14ac:dyDescent="0.25">
      <c r="J308">
        <v>300</v>
      </c>
      <c r="K308" s="30">
        <v>3518.080147865448</v>
      </c>
      <c r="L308" s="30">
        <v>4015.7068964852469</v>
      </c>
      <c r="M308" s="30">
        <v>2464.566405329093</v>
      </c>
      <c r="N308" s="30">
        <v>-1355.622319505319</v>
      </c>
      <c r="O308" s="30">
        <v>3520.1374404890739</v>
      </c>
      <c r="P308" s="30">
        <v>-35.123681587179817</v>
      </c>
      <c r="R308">
        <v>300</v>
      </c>
      <c r="S308" s="30">
        <v>231.7531540714042</v>
      </c>
      <c r="T308" s="30">
        <v>319.7021175318921</v>
      </c>
      <c r="U308" s="30">
        <v>74.331107660431712</v>
      </c>
      <c r="V308" s="30">
        <v>0</v>
      </c>
      <c r="W308" s="30">
        <v>0</v>
      </c>
      <c r="X308" s="30">
        <v>0</v>
      </c>
    </row>
    <row r="309" spans="10:24" x14ac:dyDescent="0.25">
      <c r="J309">
        <v>301</v>
      </c>
      <c r="K309" s="30">
        <v>2312.4811639861423</v>
      </c>
      <c r="L309" s="30">
        <v>1680.1504092667919</v>
      </c>
      <c r="M309" s="30">
        <v>1848.6939042228478</v>
      </c>
      <c r="N309" s="30">
        <v>858.79737881559322</v>
      </c>
      <c r="O309" s="30">
        <v>-2139.9292491565993</v>
      </c>
      <c r="P309" s="30">
        <v>-2150.2804902622302</v>
      </c>
      <c r="R309">
        <v>301</v>
      </c>
      <c r="S309" s="30">
        <v>195.71224682731372</v>
      </c>
      <c r="T309" s="30">
        <v>301.30834594308487</v>
      </c>
      <c r="U309" s="30">
        <v>104.90985409333155</v>
      </c>
      <c r="V309" s="30">
        <v>0</v>
      </c>
      <c r="W309" s="30">
        <v>0</v>
      </c>
      <c r="X309" s="30">
        <v>0</v>
      </c>
    </row>
    <row r="310" spans="10:24" x14ac:dyDescent="0.25">
      <c r="J310">
        <v>302</v>
      </c>
      <c r="K310" s="30">
        <v>2019.8817322322411</v>
      </c>
      <c r="L310" s="30">
        <v>3379.4711799884144</v>
      </c>
      <c r="M310" s="30">
        <v>2231.7851275007383</v>
      </c>
      <c r="N310" s="30">
        <v>538.27025735448387</v>
      </c>
      <c r="O310" s="30">
        <v>2428.1004234015936</v>
      </c>
      <c r="P310" s="30">
        <v>1464.4189007497553</v>
      </c>
      <c r="R310">
        <v>302</v>
      </c>
      <c r="S310" s="30">
        <v>367.56239036464166</v>
      </c>
      <c r="T310" s="30">
        <v>266.73465940310155</v>
      </c>
      <c r="U310" s="30">
        <v>111.34665824801698</v>
      </c>
      <c r="V310" s="30">
        <v>125.14863893987865</v>
      </c>
      <c r="W310" s="30">
        <v>0</v>
      </c>
      <c r="X310" s="30">
        <v>0</v>
      </c>
    </row>
    <row r="311" spans="10:24" x14ac:dyDescent="0.25">
      <c r="J311">
        <v>303</v>
      </c>
      <c r="K311" s="30">
        <v>3291.3001685763711</v>
      </c>
      <c r="L311" s="30">
        <v>3140.6677543960504</v>
      </c>
      <c r="M311" s="30">
        <v>1935.1311521443258</v>
      </c>
      <c r="N311" s="30">
        <v>-127.68484182286556</v>
      </c>
      <c r="O311" s="30">
        <v>183.1395348014712</v>
      </c>
      <c r="P311" s="30">
        <v>-8.9843031308182617</v>
      </c>
      <c r="R311">
        <v>303</v>
      </c>
      <c r="S311" s="30">
        <v>297.88910040484529</v>
      </c>
      <c r="T311" s="30">
        <v>262.62094625904416</v>
      </c>
      <c r="U311" s="30">
        <v>173.00784408646831</v>
      </c>
      <c r="V311" s="30">
        <v>0</v>
      </c>
      <c r="W311" s="30">
        <v>0</v>
      </c>
      <c r="X311" s="30">
        <v>0</v>
      </c>
    </row>
    <row r="312" spans="10:24" x14ac:dyDescent="0.25">
      <c r="J312">
        <v>304</v>
      </c>
      <c r="K312" s="30">
        <v>2141.9115493022614</v>
      </c>
      <c r="L312" s="30">
        <v>3115.2535766373148</v>
      </c>
      <c r="M312" s="30">
        <v>2139.3375945221455</v>
      </c>
      <c r="N312" s="30">
        <v>-307.37865124421296</v>
      </c>
      <c r="O312" s="30">
        <v>1945.6567786709611</v>
      </c>
      <c r="P312" s="30">
        <v>1592.5669799992411</v>
      </c>
      <c r="R312">
        <v>304</v>
      </c>
      <c r="S312" s="30">
        <v>255.17492778330109</v>
      </c>
      <c r="T312" s="30">
        <v>336.6524331343474</v>
      </c>
      <c r="U312" s="30">
        <v>142.00706724165769</v>
      </c>
      <c r="V312" s="30">
        <v>0</v>
      </c>
      <c r="W312" s="30">
        <v>30.362456705878458</v>
      </c>
      <c r="X312" s="30">
        <v>0</v>
      </c>
    </row>
    <row r="313" spans="10:24" x14ac:dyDescent="0.25">
      <c r="J313">
        <v>305</v>
      </c>
      <c r="K313" s="30">
        <v>2154.6085524732453</v>
      </c>
      <c r="L313" s="30">
        <v>3470.8180933838412</v>
      </c>
      <c r="M313" s="30">
        <v>3942.7316460730299</v>
      </c>
      <c r="N313" s="30">
        <v>984.51387403255012</v>
      </c>
      <c r="O313" s="30">
        <v>1804.3102437983225</v>
      </c>
      <c r="P313" s="30">
        <v>637.01153216289367</v>
      </c>
      <c r="R313">
        <v>305</v>
      </c>
      <c r="S313" s="30">
        <v>286.20516567098565</v>
      </c>
      <c r="T313" s="30">
        <v>335.71627336902424</v>
      </c>
      <c r="U313" s="30">
        <v>182.65246953135966</v>
      </c>
      <c r="V313" s="30">
        <v>0</v>
      </c>
      <c r="W313" s="30">
        <v>208.60303999704001</v>
      </c>
      <c r="X313" s="30">
        <v>0</v>
      </c>
    </row>
    <row r="314" spans="10:24" x14ac:dyDescent="0.25">
      <c r="J314">
        <v>306</v>
      </c>
      <c r="K314" s="30">
        <v>3743.0397398691957</v>
      </c>
      <c r="L314" s="30">
        <v>2669.7106838319119</v>
      </c>
      <c r="M314" s="30">
        <v>1481.3671720516461</v>
      </c>
      <c r="N314" s="30">
        <v>1277.5211342197908</v>
      </c>
      <c r="O314" s="30">
        <v>2806.9361477604234</v>
      </c>
      <c r="P314" s="30">
        <v>-153.86447826960375</v>
      </c>
      <c r="R314">
        <v>306</v>
      </c>
      <c r="S314" s="30">
        <v>225.21934018148505</v>
      </c>
      <c r="T314" s="30">
        <v>246.91734623801352</v>
      </c>
      <c r="U314" s="30">
        <v>70.475741911050477</v>
      </c>
      <c r="V314" s="30">
        <v>0</v>
      </c>
      <c r="W314" s="30">
        <v>0</v>
      </c>
      <c r="X314" s="30">
        <v>120.59563247709303</v>
      </c>
    </row>
    <row r="315" spans="10:24" x14ac:dyDescent="0.25">
      <c r="J315">
        <v>307</v>
      </c>
      <c r="K315" s="30">
        <v>4307.0956397942009</v>
      </c>
      <c r="L315" s="30">
        <v>3014.8318859868709</v>
      </c>
      <c r="M315" s="30">
        <v>2449.4943006845119</v>
      </c>
      <c r="N315" s="30">
        <v>1543.0341402655904</v>
      </c>
      <c r="O315" s="30">
        <v>3050.8982629155771</v>
      </c>
      <c r="P315" s="30">
        <v>321.29030398136547</v>
      </c>
      <c r="R315">
        <v>307</v>
      </c>
      <c r="S315" s="30">
        <v>239.62962156361652</v>
      </c>
      <c r="T315" s="30">
        <v>293.6809419118166</v>
      </c>
      <c r="U315" s="30">
        <v>116.07322835273294</v>
      </c>
      <c r="V315" s="30">
        <v>0</v>
      </c>
      <c r="W315" s="30">
        <v>0</v>
      </c>
      <c r="X315" s="30">
        <v>0</v>
      </c>
    </row>
    <row r="316" spans="10:24" x14ac:dyDescent="0.25">
      <c r="J316">
        <v>308</v>
      </c>
      <c r="K316" s="30">
        <v>2102.6500911024605</v>
      </c>
      <c r="L316" s="30">
        <v>3085.2054204316951</v>
      </c>
      <c r="M316" s="30">
        <v>2774.582482265454</v>
      </c>
      <c r="N316" s="30">
        <v>712.71439895165986</v>
      </c>
      <c r="O316" s="30">
        <v>-874.50665149030647</v>
      </c>
      <c r="P316" s="30">
        <v>-2131.3272419950199</v>
      </c>
      <c r="R316">
        <v>308</v>
      </c>
      <c r="S316" s="30">
        <v>340.9587275887115</v>
      </c>
      <c r="T316" s="30">
        <v>304.02894839780413</v>
      </c>
      <c r="U316" s="30">
        <v>107.42392036049603</v>
      </c>
      <c r="V316" s="30">
        <v>0</v>
      </c>
      <c r="W316" s="30">
        <v>74.176242351503333</v>
      </c>
      <c r="X316" s="30">
        <v>0</v>
      </c>
    </row>
    <row r="317" spans="10:24" x14ac:dyDescent="0.25">
      <c r="J317">
        <v>309</v>
      </c>
      <c r="K317" s="30">
        <v>3695.7667838419088</v>
      </c>
      <c r="L317" s="30">
        <v>2904.2143486991149</v>
      </c>
      <c r="M317" s="30">
        <v>3703.4579679559279</v>
      </c>
      <c r="N317" s="30">
        <v>353.71564944191232</v>
      </c>
      <c r="O317" s="30">
        <v>307.50141778093075</v>
      </c>
      <c r="P317" s="30">
        <v>-1183.8250624830953</v>
      </c>
      <c r="R317">
        <v>309</v>
      </c>
      <c r="S317" s="30">
        <v>357.24819524457047</v>
      </c>
      <c r="T317" s="30">
        <v>360.92626961121101</v>
      </c>
      <c r="U317" s="30">
        <v>244.49464527395543</v>
      </c>
      <c r="V317" s="30">
        <v>0</v>
      </c>
      <c r="W317" s="30">
        <v>188.62816451548167</v>
      </c>
      <c r="X317" s="30">
        <v>0</v>
      </c>
    </row>
    <row r="318" spans="10:24" x14ac:dyDescent="0.25">
      <c r="J318">
        <v>310</v>
      </c>
      <c r="K318" s="30">
        <v>4169.3030676786939</v>
      </c>
      <c r="L318" s="30">
        <v>2689.7736992538266</v>
      </c>
      <c r="M318" s="30">
        <v>3401.6958794571442</v>
      </c>
      <c r="N318" s="30">
        <v>-392.0717755106707</v>
      </c>
      <c r="O318" s="30">
        <v>1246.9282479978629</v>
      </c>
      <c r="P318" s="30">
        <v>-731.11946842458383</v>
      </c>
      <c r="R318">
        <v>310</v>
      </c>
      <c r="S318" s="30">
        <v>268.4999614760294</v>
      </c>
      <c r="T318" s="30">
        <v>445.98556920008224</v>
      </c>
      <c r="U318" s="30">
        <v>151.06568801413556</v>
      </c>
      <c r="V318" s="30">
        <v>86.941120540002657</v>
      </c>
      <c r="W318" s="30">
        <v>0</v>
      </c>
      <c r="X318" s="30">
        <v>60.351145026904078</v>
      </c>
    </row>
    <row r="319" spans="10:24" x14ac:dyDescent="0.25">
      <c r="J319">
        <v>311</v>
      </c>
      <c r="K319" s="30">
        <v>4104.0306176186577</v>
      </c>
      <c r="L319" s="30">
        <v>4304.957556944355</v>
      </c>
      <c r="M319" s="30">
        <v>3675.2628396825194</v>
      </c>
      <c r="N319" s="30">
        <v>1048.5132656599708</v>
      </c>
      <c r="O319" s="30">
        <v>2425.7861608389021</v>
      </c>
      <c r="P319" s="30">
        <v>-1750.6689990780815</v>
      </c>
      <c r="R319">
        <v>311</v>
      </c>
      <c r="S319" s="30">
        <v>269.07469869381805</v>
      </c>
      <c r="T319" s="30">
        <v>289.88686357115517</v>
      </c>
      <c r="U319" s="30">
        <v>66.962054065647521</v>
      </c>
      <c r="V319" s="30">
        <v>47.436574002660336</v>
      </c>
      <c r="W319" s="30">
        <v>6.7183916815764633</v>
      </c>
      <c r="X319" s="30">
        <v>0</v>
      </c>
    </row>
    <row r="320" spans="10:24" x14ac:dyDescent="0.25">
      <c r="J320">
        <v>312</v>
      </c>
      <c r="K320" s="30">
        <v>2239.8623557996711</v>
      </c>
      <c r="L320" s="30">
        <v>2561.1589628708589</v>
      </c>
      <c r="M320" s="30">
        <v>2655.4710945913343</v>
      </c>
      <c r="N320" s="30">
        <v>1818.0281020165839</v>
      </c>
      <c r="O320" s="30">
        <v>827.14994045375352</v>
      </c>
      <c r="P320" s="30">
        <v>-702.99486402135426</v>
      </c>
      <c r="R320">
        <v>312</v>
      </c>
      <c r="S320" s="30">
        <v>188.32241817109571</v>
      </c>
      <c r="T320" s="30">
        <v>308.71482133772662</v>
      </c>
      <c r="U320" s="30">
        <v>249.6255339141853</v>
      </c>
      <c r="V320" s="30">
        <v>0</v>
      </c>
      <c r="W320" s="30">
        <v>15.407108784951788</v>
      </c>
      <c r="X320" s="30">
        <v>0</v>
      </c>
    </row>
    <row r="321" spans="10:24" x14ac:dyDescent="0.25">
      <c r="J321">
        <v>313</v>
      </c>
      <c r="K321" s="30">
        <v>2301.9074316573779</v>
      </c>
      <c r="L321" s="30">
        <v>2251.4905153325808</v>
      </c>
      <c r="M321" s="30">
        <v>1982.3698864535045</v>
      </c>
      <c r="N321" s="30">
        <v>-849.39510980641262</v>
      </c>
      <c r="O321" s="30">
        <v>1788.5064834034993</v>
      </c>
      <c r="P321" s="30">
        <v>-563.34152226333481</v>
      </c>
      <c r="R321">
        <v>313</v>
      </c>
      <c r="S321" s="30">
        <v>315.74915739037175</v>
      </c>
      <c r="T321" s="30">
        <v>382.05521442481046</v>
      </c>
      <c r="U321" s="30">
        <v>78.819681588811761</v>
      </c>
      <c r="V321" s="30">
        <v>0</v>
      </c>
      <c r="W321" s="30">
        <v>0</v>
      </c>
      <c r="X321" s="30">
        <v>0</v>
      </c>
    </row>
    <row r="322" spans="10:24" x14ac:dyDescent="0.25">
      <c r="J322">
        <v>314</v>
      </c>
      <c r="K322" s="30">
        <v>3482.6977119281114</v>
      </c>
      <c r="L322" s="30">
        <v>3014.2705114941627</v>
      </c>
      <c r="M322" s="30">
        <v>1510.821509812954</v>
      </c>
      <c r="N322" s="30">
        <v>1138.3362542151799</v>
      </c>
      <c r="O322" s="30">
        <v>2001.2740265711382</v>
      </c>
      <c r="P322" s="30">
        <v>-1772.725524986321</v>
      </c>
      <c r="R322">
        <v>314</v>
      </c>
      <c r="S322" s="30">
        <v>214.94213117143676</v>
      </c>
      <c r="T322" s="30">
        <v>285.27779427508921</v>
      </c>
      <c r="U322" s="30">
        <v>151.98684068811582</v>
      </c>
      <c r="V322" s="30">
        <v>0</v>
      </c>
      <c r="W322" s="30">
        <v>0</v>
      </c>
      <c r="X322" s="30">
        <v>0</v>
      </c>
    </row>
    <row r="323" spans="10:24" x14ac:dyDescent="0.25">
      <c r="J323">
        <v>315</v>
      </c>
      <c r="K323" s="30">
        <v>3127.0340726211011</v>
      </c>
      <c r="L323" s="30">
        <v>4244.1620934201756</v>
      </c>
      <c r="M323" s="30">
        <v>3983.1625238940874</v>
      </c>
      <c r="N323" s="30">
        <v>-402.0738809713248</v>
      </c>
      <c r="O323" s="30">
        <v>582.80414343707707</v>
      </c>
      <c r="P323" s="30">
        <v>69.380277783602651</v>
      </c>
      <c r="R323">
        <v>315</v>
      </c>
      <c r="S323" s="30">
        <v>227.1151567823228</v>
      </c>
      <c r="T323" s="30">
        <v>369.13620073514494</v>
      </c>
      <c r="U323" s="30">
        <v>234.56904463029372</v>
      </c>
      <c r="V323" s="30">
        <v>3.1257805107512695</v>
      </c>
      <c r="W323" s="30">
        <v>0</v>
      </c>
      <c r="X323" s="30">
        <v>0</v>
      </c>
    </row>
    <row r="324" spans="10:24" x14ac:dyDescent="0.25">
      <c r="J324">
        <v>316</v>
      </c>
      <c r="K324" s="30">
        <v>3353.7737415534903</v>
      </c>
      <c r="L324" s="30">
        <v>3866.5558786439051</v>
      </c>
      <c r="M324" s="30">
        <v>3347.6032267431015</v>
      </c>
      <c r="N324" s="30">
        <v>1263.2288150793293</v>
      </c>
      <c r="O324" s="30">
        <v>1840.0053065150078</v>
      </c>
      <c r="P324" s="30">
        <v>82.359204224818313</v>
      </c>
      <c r="R324">
        <v>316</v>
      </c>
      <c r="S324" s="30">
        <v>275.18819908320506</v>
      </c>
      <c r="T324" s="30">
        <v>336.11332429967138</v>
      </c>
      <c r="U324" s="30">
        <v>198.43743771134581</v>
      </c>
      <c r="V324" s="30">
        <v>0</v>
      </c>
      <c r="W324" s="30">
        <v>0</v>
      </c>
      <c r="X324" s="30">
        <v>0</v>
      </c>
    </row>
    <row r="325" spans="10:24" x14ac:dyDescent="0.25">
      <c r="J325">
        <v>317</v>
      </c>
      <c r="K325" s="30">
        <v>2393.7092637013379</v>
      </c>
      <c r="L325" s="30">
        <v>2282.7445519790763</v>
      </c>
      <c r="M325" s="30">
        <v>2385.5779554560459</v>
      </c>
      <c r="N325" s="30">
        <v>989.35796192388534</v>
      </c>
      <c r="O325" s="30">
        <v>-167.42270930747873</v>
      </c>
      <c r="P325" s="30">
        <v>-1074.8520139188586</v>
      </c>
      <c r="R325">
        <v>317</v>
      </c>
      <c r="S325" s="30">
        <v>217.31888652839399</v>
      </c>
      <c r="T325" s="30">
        <v>435.54965833621861</v>
      </c>
      <c r="U325" s="30">
        <v>71.276237528015088</v>
      </c>
      <c r="V325" s="30">
        <v>0</v>
      </c>
      <c r="W325" s="30">
        <v>0</v>
      </c>
      <c r="X325" s="30">
        <v>0</v>
      </c>
    </row>
    <row r="326" spans="10:24" x14ac:dyDescent="0.25">
      <c r="J326">
        <v>318</v>
      </c>
      <c r="K326" s="30">
        <v>3828.476898782289</v>
      </c>
      <c r="L326" s="30">
        <v>3103.3371115913992</v>
      </c>
      <c r="M326" s="30">
        <v>1622.3763680637658</v>
      </c>
      <c r="N326" s="30">
        <v>3400.5214887368993</v>
      </c>
      <c r="O326" s="30">
        <v>354.96778031329359</v>
      </c>
      <c r="P326" s="30">
        <v>1819.0965698395548</v>
      </c>
      <c r="R326">
        <v>318</v>
      </c>
      <c r="S326" s="30">
        <v>162.15637948056855</v>
      </c>
      <c r="T326" s="30">
        <v>334.28896880093146</v>
      </c>
      <c r="U326" s="30">
        <v>152.30885483858816</v>
      </c>
      <c r="V326" s="30">
        <v>61.77997986464311</v>
      </c>
      <c r="W326" s="30">
        <v>0</v>
      </c>
      <c r="X326" s="30">
        <v>0</v>
      </c>
    </row>
    <row r="327" spans="10:24" x14ac:dyDescent="0.25">
      <c r="J327">
        <v>319</v>
      </c>
      <c r="K327" s="30">
        <v>2227.0407010442814</v>
      </c>
      <c r="L327" s="30">
        <v>2443.4912369218487</v>
      </c>
      <c r="M327" s="30">
        <v>1774.0096423981631</v>
      </c>
      <c r="N327" s="30">
        <v>1420.3823052673797</v>
      </c>
      <c r="O327" s="30">
        <v>1901.4489270772074</v>
      </c>
      <c r="P327" s="30">
        <v>-1717.5600707716103</v>
      </c>
      <c r="R327">
        <v>319</v>
      </c>
      <c r="S327" s="30">
        <v>227.88937407960202</v>
      </c>
      <c r="T327" s="30">
        <v>406.2455500854872</v>
      </c>
      <c r="U327" s="30">
        <v>228.10131126952621</v>
      </c>
      <c r="V327" s="30">
        <v>6.2979055213714901</v>
      </c>
      <c r="W327" s="30">
        <v>0</v>
      </c>
      <c r="X327" s="30">
        <v>0</v>
      </c>
    </row>
    <row r="328" spans="10:24" x14ac:dyDescent="0.25">
      <c r="J328">
        <v>320</v>
      </c>
      <c r="K328" s="30">
        <v>1974.8632679433945</v>
      </c>
      <c r="L328" s="30">
        <v>2624.0885941088518</v>
      </c>
      <c r="M328" s="30">
        <v>2250.5161302190418</v>
      </c>
      <c r="N328" s="30">
        <v>-175.77327177765528</v>
      </c>
      <c r="O328" s="30">
        <v>-157.3325654740438</v>
      </c>
      <c r="P328" s="30">
        <v>179.16609153908212</v>
      </c>
      <c r="R328">
        <v>320</v>
      </c>
      <c r="S328" s="30">
        <v>240.71938001849151</v>
      </c>
      <c r="T328" s="30">
        <v>357.62631574842715</v>
      </c>
      <c r="U328" s="30">
        <v>75.517509827604954</v>
      </c>
      <c r="V328" s="30">
        <v>0</v>
      </c>
      <c r="W328" s="30">
        <v>0</v>
      </c>
      <c r="X328" s="30">
        <v>42.977589154333145</v>
      </c>
    </row>
    <row r="329" spans="10:24" x14ac:dyDescent="0.25">
      <c r="J329">
        <v>321</v>
      </c>
      <c r="K329" s="30">
        <v>3745.9905078467309</v>
      </c>
      <c r="L329" s="30">
        <v>2965.9302348609208</v>
      </c>
      <c r="M329" s="30">
        <v>3700.0273057050313</v>
      </c>
      <c r="N329" s="30">
        <v>446.73960897579582</v>
      </c>
      <c r="O329" s="30">
        <v>2703.5875904925424</v>
      </c>
      <c r="P329" s="30">
        <v>758.02848670416461</v>
      </c>
      <c r="R329">
        <v>321</v>
      </c>
      <c r="S329" s="30">
        <v>310.39445176920856</v>
      </c>
      <c r="T329" s="30">
        <v>322.61879238844517</v>
      </c>
      <c r="U329" s="30">
        <v>113.14704254131129</v>
      </c>
      <c r="V329" s="30">
        <v>0</v>
      </c>
      <c r="W329" s="30">
        <v>0</v>
      </c>
      <c r="X329" s="30">
        <v>0</v>
      </c>
    </row>
    <row r="330" spans="10:24" x14ac:dyDescent="0.25">
      <c r="J330">
        <v>322</v>
      </c>
      <c r="K330" s="30">
        <v>3971.792694554731</v>
      </c>
      <c r="L330" s="30">
        <v>2100.7078404242161</v>
      </c>
      <c r="M330" s="30">
        <v>1290.2805771536487</v>
      </c>
      <c r="N330" s="30">
        <v>1181.2523954880162</v>
      </c>
      <c r="O330" s="30">
        <v>-150.17973805367183</v>
      </c>
      <c r="P330" s="30">
        <v>-1552.3389674596337</v>
      </c>
      <c r="R330">
        <v>322</v>
      </c>
      <c r="S330" s="30">
        <v>288.04981065814621</v>
      </c>
      <c r="T330" s="30">
        <v>454.77469486024017</v>
      </c>
      <c r="U330" s="30">
        <v>119.85487438429112</v>
      </c>
      <c r="V330" s="30">
        <v>111.16282205459061</v>
      </c>
      <c r="W330" s="30">
        <v>15.966756394935032</v>
      </c>
      <c r="X330" s="30">
        <v>0</v>
      </c>
    </row>
    <row r="331" spans="10:24" x14ac:dyDescent="0.25">
      <c r="J331">
        <v>323</v>
      </c>
      <c r="K331" s="30">
        <v>3509.9182177982198</v>
      </c>
      <c r="L331" s="30">
        <v>2019.5135973731449</v>
      </c>
      <c r="M331" s="30">
        <v>2482.3070286105999</v>
      </c>
      <c r="N331" s="30">
        <v>116.45585303581356</v>
      </c>
      <c r="O331" s="30">
        <v>1786.7018802483544</v>
      </c>
      <c r="P331" s="30">
        <v>-1514.3479763399491</v>
      </c>
      <c r="R331">
        <v>323</v>
      </c>
      <c r="S331" s="30">
        <v>254.43342509716166</v>
      </c>
      <c r="T331" s="30">
        <v>318.47180886935138</v>
      </c>
      <c r="U331" s="30">
        <v>268.44762951150517</v>
      </c>
      <c r="V331" s="30">
        <v>39.633977678761994</v>
      </c>
      <c r="W331" s="30">
        <v>0</v>
      </c>
      <c r="X331" s="30">
        <v>0</v>
      </c>
    </row>
    <row r="332" spans="10:24" x14ac:dyDescent="0.25">
      <c r="J332">
        <v>324</v>
      </c>
      <c r="K332" s="30">
        <v>2908.9442970845012</v>
      </c>
      <c r="L332" s="30">
        <v>3479.1928509923496</v>
      </c>
      <c r="M332" s="30">
        <v>3831.5904298273908</v>
      </c>
      <c r="N332" s="30">
        <v>-123.82529105696449</v>
      </c>
      <c r="O332" s="30">
        <v>1482.6684355902435</v>
      </c>
      <c r="P332" s="30">
        <v>-1807.9651462535758</v>
      </c>
      <c r="R332">
        <v>324</v>
      </c>
      <c r="S332" s="30">
        <v>265.60997104968141</v>
      </c>
      <c r="T332" s="30">
        <v>298.86132277419415</v>
      </c>
      <c r="U332" s="30">
        <v>86.965697970869087</v>
      </c>
      <c r="V332" s="30">
        <v>0</v>
      </c>
      <c r="W332" s="30">
        <v>0</v>
      </c>
      <c r="X332" s="30">
        <v>0</v>
      </c>
    </row>
    <row r="333" spans="10:24" x14ac:dyDescent="0.25">
      <c r="J333">
        <v>325</v>
      </c>
      <c r="K333" s="30">
        <v>2884.7179133706754</v>
      </c>
      <c r="L333" s="30">
        <v>2946.4386928738263</v>
      </c>
      <c r="M333" s="30">
        <v>2540.7340935828697</v>
      </c>
      <c r="N333" s="30">
        <v>306.73610355722212</v>
      </c>
      <c r="O333" s="30">
        <v>2116.3974337374566</v>
      </c>
      <c r="P333" s="30">
        <v>150.7015330871518</v>
      </c>
      <c r="R333">
        <v>325</v>
      </c>
      <c r="S333" s="30">
        <v>319.97764587224975</v>
      </c>
      <c r="T333" s="30">
        <v>245.40068184738868</v>
      </c>
      <c r="U333" s="30">
        <v>99.734325439813233</v>
      </c>
      <c r="V333" s="30">
        <v>0</v>
      </c>
      <c r="W333" s="30">
        <v>34.950716827638416</v>
      </c>
      <c r="X333" s="30">
        <v>0</v>
      </c>
    </row>
    <row r="334" spans="10:24" x14ac:dyDescent="0.25">
      <c r="J334">
        <v>326</v>
      </c>
      <c r="K334" s="30">
        <v>3574.8948644995858</v>
      </c>
      <c r="L334" s="30">
        <v>4228.9711908514892</v>
      </c>
      <c r="M334" s="30">
        <v>3966.863497107789</v>
      </c>
      <c r="N334" s="30">
        <v>968.37839868508672</v>
      </c>
      <c r="O334" s="30">
        <v>1337.2953259829883</v>
      </c>
      <c r="P334" s="30">
        <v>-742.46136270317766</v>
      </c>
      <c r="R334">
        <v>326</v>
      </c>
      <c r="S334" s="30">
        <v>286.38451116688174</v>
      </c>
      <c r="T334" s="30">
        <v>128.30946509205029</v>
      </c>
      <c r="U334" s="30">
        <v>226.09612749233185</v>
      </c>
      <c r="V334" s="30">
        <v>66.094395979255808</v>
      </c>
      <c r="W334" s="30">
        <v>0</v>
      </c>
      <c r="X334" s="30">
        <v>0</v>
      </c>
    </row>
    <row r="335" spans="10:24" x14ac:dyDescent="0.25">
      <c r="J335">
        <v>327</v>
      </c>
      <c r="K335" s="30">
        <v>2774.3289867989643</v>
      </c>
      <c r="L335" s="30">
        <v>3943.5360262441454</v>
      </c>
      <c r="M335" s="30">
        <v>2427.6676755286135</v>
      </c>
      <c r="N335" s="30">
        <v>1155.049792968528</v>
      </c>
      <c r="O335" s="30">
        <v>2764.6733207449897</v>
      </c>
      <c r="P335" s="30">
        <v>32.59952235349374</v>
      </c>
      <c r="R335">
        <v>327</v>
      </c>
      <c r="S335" s="30">
        <v>199.43863848653615</v>
      </c>
      <c r="T335" s="30">
        <v>318.36455708280187</v>
      </c>
      <c r="U335" s="30">
        <v>133.59001143629263</v>
      </c>
      <c r="V335" s="30">
        <v>0</v>
      </c>
      <c r="W335" s="30">
        <v>172.99493294847275</v>
      </c>
      <c r="X335" s="30">
        <v>0</v>
      </c>
    </row>
    <row r="336" spans="10:24" x14ac:dyDescent="0.25">
      <c r="J336">
        <v>328</v>
      </c>
      <c r="K336" s="30">
        <v>3878.4808120774792</v>
      </c>
      <c r="L336" s="30">
        <v>4302.2998689860306</v>
      </c>
      <c r="M336" s="30">
        <v>3220.1359790605475</v>
      </c>
      <c r="N336" s="30">
        <v>-716.13673686685433</v>
      </c>
      <c r="O336" s="30">
        <v>793.6011101390468</v>
      </c>
      <c r="P336" s="30">
        <v>-221.57919214142476</v>
      </c>
      <c r="R336">
        <v>328</v>
      </c>
      <c r="S336" s="30">
        <v>216.68832592522864</v>
      </c>
      <c r="T336" s="30">
        <v>229.07725902096462</v>
      </c>
      <c r="U336" s="30">
        <v>51.295441486767572</v>
      </c>
      <c r="V336" s="30">
        <v>0</v>
      </c>
      <c r="W336" s="30">
        <v>0</v>
      </c>
      <c r="X336" s="30">
        <v>0</v>
      </c>
    </row>
    <row r="337" spans="10:24" x14ac:dyDescent="0.25">
      <c r="J337">
        <v>329</v>
      </c>
      <c r="K337" s="30">
        <v>3565.7811944336941</v>
      </c>
      <c r="L337" s="30">
        <v>2372.7917776644126</v>
      </c>
      <c r="M337" s="30">
        <v>948.02221774145528</v>
      </c>
      <c r="N337" s="30">
        <v>-709.56456934056314</v>
      </c>
      <c r="O337" s="30">
        <v>1461.2585140039882</v>
      </c>
      <c r="P337" s="30">
        <v>-1747.6210308639047</v>
      </c>
      <c r="R337">
        <v>329</v>
      </c>
      <c r="S337" s="30">
        <v>193.43941902950979</v>
      </c>
      <c r="T337" s="30">
        <v>255.73552869720191</v>
      </c>
      <c r="U337" s="30">
        <v>233.26531352648976</v>
      </c>
      <c r="V337" s="30">
        <v>173.11694654513224</v>
      </c>
      <c r="W337" s="30">
        <v>31.199251574561231</v>
      </c>
      <c r="X337" s="30">
        <v>0</v>
      </c>
    </row>
    <row r="338" spans="10:24" x14ac:dyDescent="0.25">
      <c r="J338">
        <v>330</v>
      </c>
      <c r="K338" s="30">
        <v>3891.8779808711374</v>
      </c>
      <c r="L338" s="30">
        <v>4137.7662790186132</v>
      </c>
      <c r="M338" s="30">
        <v>2359.9281328231455</v>
      </c>
      <c r="N338" s="30">
        <v>711.66639207216667</v>
      </c>
      <c r="O338" s="30">
        <v>431.21108902680044</v>
      </c>
      <c r="P338" s="30">
        <v>-505.36614175882096</v>
      </c>
      <c r="R338">
        <v>330</v>
      </c>
      <c r="S338" s="30">
        <v>258.90788919986034</v>
      </c>
      <c r="T338" s="30">
        <v>343.01307806738242</v>
      </c>
      <c r="U338" s="30">
        <v>59.562625032855351</v>
      </c>
      <c r="V338" s="30">
        <v>0</v>
      </c>
      <c r="W338" s="30">
        <v>49.277595343576877</v>
      </c>
      <c r="X338" s="30">
        <v>0</v>
      </c>
    </row>
    <row r="339" spans="10:24" x14ac:dyDescent="0.25">
      <c r="J339">
        <v>331</v>
      </c>
      <c r="K339" s="30">
        <v>2555.3649939238621</v>
      </c>
      <c r="L339" s="30">
        <v>4397.9933492562668</v>
      </c>
      <c r="M339" s="30">
        <v>1690.9194120592856</v>
      </c>
      <c r="N339" s="30">
        <v>-501.1782342779461</v>
      </c>
      <c r="O339" s="30">
        <v>3186.3699965251271</v>
      </c>
      <c r="P339" s="30">
        <v>273.63811548980448</v>
      </c>
      <c r="R339">
        <v>331</v>
      </c>
      <c r="S339" s="30">
        <v>320.28885668620819</v>
      </c>
      <c r="T339" s="30">
        <v>352.71301956385145</v>
      </c>
      <c r="U339" s="30">
        <v>233.63177700476598</v>
      </c>
      <c r="V339" s="30">
        <v>0</v>
      </c>
      <c r="W339" s="30">
        <v>165.05760588823256</v>
      </c>
      <c r="X339" s="30">
        <v>8.4181748862138761</v>
      </c>
    </row>
    <row r="340" spans="10:24" x14ac:dyDescent="0.25">
      <c r="J340">
        <v>332</v>
      </c>
      <c r="K340" s="30">
        <v>3041.1959791747768</v>
      </c>
      <c r="L340" s="30">
        <v>3081.9209429500816</v>
      </c>
      <c r="M340" s="30">
        <v>3000.3659914255704</v>
      </c>
      <c r="N340" s="30">
        <v>244.71578617731575</v>
      </c>
      <c r="O340" s="30">
        <v>22.986266310241263</v>
      </c>
      <c r="P340" s="30">
        <v>196.01835070100606</v>
      </c>
      <c r="R340">
        <v>332</v>
      </c>
      <c r="S340" s="30">
        <v>321.91086760841773</v>
      </c>
      <c r="T340" s="30">
        <v>324.02192437358639</v>
      </c>
      <c r="U340" s="30">
        <v>18.481231205024528</v>
      </c>
      <c r="V340" s="30">
        <v>118.35486320782201</v>
      </c>
      <c r="W340" s="30">
        <v>76.177401689430042</v>
      </c>
      <c r="X340" s="30">
        <v>29.647701572263372</v>
      </c>
    </row>
    <row r="341" spans="10:24" x14ac:dyDescent="0.25">
      <c r="J341">
        <v>333</v>
      </c>
      <c r="K341" s="30">
        <v>4187.2658929846848</v>
      </c>
      <c r="L341" s="30">
        <v>4120.1912334492299</v>
      </c>
      <c r="M341" s="30">
        <v>3705.1589011904321</v>
      </c>
      <c r="N341" s="30">
        <v>1188.9466773615168</v>
      </c>
      <c r="O341" s="30">
        <v>609.66912802116985</v>
      </c>
      <c r="P341" s="30">
        <v>-917.68719410208269</v>
      </c>
      <c r="R341">
        <v>333</v>
      </c>
      <c r="S341" s="30">
        <v>341.85950820427132</v>
      </c>
      <c r="T341" s="30">
        <v>334.39491435879495</v>
      </c>
      <c r="U341" s="30">
        <v>201.93657393860923</v>
      </c>
      <c r="V341" s="30">
        <v>10.263623877231225</v>
      </c>
      <c r="W341" s="30">
        <v>0</v>
      </c>
      <c r="X341" s="30">
        <v>0</v>
      </c>
    </row>
    <row r="342" spans="10:24" x14ac:dyDescent="0.25">
      <c r="J342">
        <v>334</v>
      </c>
      <c r="K342" s="30">
        <v>3055.1515810748929</v>
      </c>
      <c r="L342" s="30">
        <v>4003.7533391824722</v>
      </c>
      <c r="M342" s="30">
        <v>1516.231221631615</v>
      </c>
      <c r="N342" s="30">
        <v>383.00574976922326</v>
      </c>
      <c r="O342" s="30">
        <v>-161.80387805943974</v>
      </c>
      <c r="P342" s="30">
        <v>-1599.0364759694585</v>
      </c>
      <c r="R342">
        <v>334</v>
      </c>
      <c r="S342" s="30">
        <v>285.58953035349839</v>
      </c>
      <c r="T342" s="30">
        <v>191.44863797424148</v>
      </c>
      <c r="U342" s="30">
        <v>238.59052118790873</v>
      </c>
      <c r="V342" s="30">
        <v>0</v>
      </c>
      <c r="W342" s="30">
        <v>0</v>
      </c>
      <c r="X342" s="30">
        <v>0</v>
      </c>
    </row>
    <row r="343" spans="10:24" x14ac:dyDescent="0.25">
      <c r="J343">
        <v>335</v>
      </c>
      <c r="K343" s="30">
        <v>3476.6604456282162</v>
      </c>
      <c r="L343" s="30">
        <v>2791.3407294587619</v>
      </c>
      <c r="M343" s="30">
        <v>2372.9268641664139</v>
      </c>
      <c r="N343" s="30">
        <v>-713.04576661065676</v>
      </c>
      <c r="O343" s="30">
        <v>1379.5175806928628</v>
      </c>
      <c r="P343" s="30">
        <v>-1482.6371904727175</v>
      </c>
      <c r="R343">
        <v>335</v>
      </c>
      <c r="S343" s="30">
        <v>319.85733253732286</v>
      </c>
      <c r="T343" s="30">
        <v>261.39745448361737</v>
      </c>
      <c r="U343" s="30">
        <v>219.93242485869877</v>
      </c>
      <c r="V343" s="30">
        <v>0</v>
      </c>
      <c r="W343" s="30">
        <v>0</v>
      </c>
      <c r="X343" s="30">
        <v>0</v>
      </c>
    </row>
    <row r="344" spans="10:24" x14ac:dyDescent="0.25">
      <c r="J344">
        <v>336</v>
      </c>
      <c r="K344" s="30">
        <v>2635.1924063165529</v>
      </c>
      <c r="L344" s="30">
        <v>3162.1635813033399</v>
      </c>
      <c r="M344" s="30">
        <v>2036.631826908314</v>
      </c>
      <c r="N344" s="30">
        <v>751.20468752423221</v>
      </c>
      <c r="O344" s="30">
        <v>991.60880897047355</v>
      </c>
      <c r="P344" s="30">
        <v>-1891.3720006172171</v>
      </c>
      <c r="R344">
        <v>336</v>
      </c>
      <c r="S344" s="30">
        <v>211.62024795542476</v>
      </c>
      <c r="T344" s="30">
        <v>414.43475609612511</v>
      </c>
      <c r="U344" s="30">
        <v>123.0100359016713</v>
      </c>
      <c r="V344" s="30">
        <v>0</v>
      </c>
      <c r="W344" s="30">
        <v>226.40893803646799</v>
      </c>
      <c r="X344" s="30">
        <v>0</v>
      </c>
    </row>
    <row r="345" spans="10:24" x14ac:dyDescent="0.25">
      <c r="J345">
        <v>337</v>
      </c>
      <c r="K345" s="30">
        <v>2297.8253207352027</v>
      </c>
      <c r="L345" s="30">
        <v>2520.6199874172962</v>
      </c>
      <c r="M345" s="30">
        <v>1844.5633255922071</v>
      </c>
      <c r="N345" s="30">
        <v>4367.3218439499933</v>
      </c>
      <c r="O345" s="30">
        <v>469.924054693166</v>
      </c>
      <c r="P345" s="30">
        <v>-568.48878019013591</v>
      </c>
      <c r="R345">
        <v>337</v>
      </c>
      <c r="S345" s="30">
        <v>159.07794281660648</v>
      </c>
      <c r="T345" s="30">
        <v>272.59250728137602</v>
      </c>
      <c r="U345" s="30">
        <v>202.2642928677347</v>
      </c>
      <c r="V345" s="30">
        <v>0</v>
      </c>
      <c r="W345" s="30">
        <v>108.69661769404377</v>
      </c>
      <c r="X345" s="30">
        <v>0</v>
      </c>
    </row>
    <row r="346" spans="10:24" x14ac:dyDescent="0.25">
      <c r="J346">
        <v>338</v>
      </c>
      <c r="K346" s="30">
        <v>2289.8983983079806</v>
      </c>
      <c r="L346" s="30">
        <v>4424.2630461877752</v>
      </c>
      <c r="M346" s="30">
        <v>2110.3971384021993</v>
      </c>
      <c r="N346" s="30">
        <v>-1773.7913783388649</v>
      </c>
      <c r="O346" s="30">
        <v>1481.8353123549496</v>
      </c>
      <c r="P346" s="30">
        <v>-3059.9050382799651</v>
      </c>
      <c r="R346">
        <v>338</v>
      </c>
      <c r="S346" s="30">
        <v>290.6740558118272</v>
      </c>
      <c r="T346" s="30">
        <v>281.50141383678459</v>
      </c>
      <c r="U346" s="30">
        <v>133.18451651787535</v>
      </c>
      <c r="V346" s="30">
        <v>0</v>
      </c>
      <c r="W346" s="30">
        <v>109.51821798176064</v>
      </c>
      <c r="X346" s="30">
        <v>0</v>
      </c>
    </row>
    <row r="347" spans="10:24" x14ac:dyDescent="0.25">
      <c r="J347">
        <v>339</v>
      </c>
      <c r="K347" s="30">
        <v>2475.9818206757463</v>
      </c>
      <c r="L347" s="30">
        <v>3729.7978307146309</v>
      </c>
      <c r="M347" s="30">
        <v>1751.1358870010317</v>
      </c>
      <c r="N347" s="30">
        <v>-12.285595444675891</v>
      </c>
      <c r="O347" s="30">
        <v>-970.71683730735003</v>
      </c>
      <c r="P347" s="30">
        <v>-2228.666759336299</v>
      </c>
      <c r="R347">
        <v>339</v>
      </c>
      <c r="S347" s="30">
        <v>289.56619059913896</v>
      </c>
      <c r="T347" s="30">
        <v>279.10573579477375</v>
      </c>
      <c r="U347" s="30">
        <v>80.885163100235843</v>
      </c>
      <c r="V347" s="30">
        <v>0</v>
      </c>
      <c r="W347" s="30">
        <v>123.05867446290688</v>
      </c>
      <c r="X347" s="30">
        <v>0</v>
      </c>
    </row>
    <row r="348" spans="10:24" x14ac:dyDescent="0.25">
      <c r="J348">
        <v>340</v>
      </c>
      <c r="K348" s="30">
        <v>2779.7867002163862</v>
      </c>
      <c r="L348" s="30">
        <v>2364.8439102491284</v>
      </c>
      <c r="M348" s="30">
        <v>2657.5296905679679</v>
      </c>
      <c r="N348" s="30">
        <v>1605.5072407579382</v>
      </c>
      <c r="O348" s="30">
        <v>-1074.4819768862953</v>
      </c>
      <c r="P348" s="30">
        <v>80.68836193475363</v>
      </c>
      <c r="R348">
        <v>340</v>
      </c>
      <c r="S348" s="30">
        <v>317.7773138966856</v>
      </c>
      <c r="T348" s="30">
        <v>284.4936347622704</v>
      </c>
      <c r="U348" s="30">
        <v>125.23906756808225</v>
      </c>
      <c r="V348" s="30">
        <v>52.034450810835949</v>
      </c>
      <c r="W348" s="30">
        <v>51.391929988426455</v>
      </c>
      <c r="X348" s="30">
        <v>0</v>
      </c>
    </row>
    <row r="349" spans="10:24" x14ac:dyDescent="0.25">
      <c r="J349">
        <v>341</v>
      </c>
      <c r="K349" s="30">
        <v>2309.0136645250559</v>
      </c>
      <c r="L349" s="30">
        <v>2714.0828171635853</v>
      </c>
      <c r="M349" s="30">
        <v>2181.590162730387</v>
      </c>
      <c r="N349" s="30">
        <v>1285.715823717117</v>
      </c>
      <c r="O349" s="30">
        <v>1123.3629437094587</v>
      </c>
      <c r="P349" s="30">
        <v>-1381.7682484223651</v>
      </c>
      <c r="R349">
        <v>341</v>
      </c>
      <c r="S349" s="30">
        <v>260.12070558448579</v>
      </c>
      <c r="T349" s="30">
        <v>167.6489667773937</v>
      </c>
      <c r="U349" s="30">
        <v>122.39335936593068</v>
      </c>
      <c r="V349" s="30">
        <v>0</v>
      </c>
      <c r="W349" s="30">
        <v>0</v>
      </c>
      <c r="X349" s="30">
        <v>0</v>
      </c>
    </row>
    <row r="350" spans="10:24" x14ac:dyDescent="0.25">
      <c r="J350">
        <v>342</v>
      </c>
      <c r="K350" s="30">
        <v>2524.1742672874434</v>
      </c>
      <c r="L350" s="30">
        <v>4077.2334584898945</v>
      </c>
      <c r="M350" s="30">
        <v>2273.514053076969</v>
      </c>
      <c r="N350" s="30">
        <v>426.15147547992365</v>
      </c>
      <c r="O350" s="30">
        <v>-713.54603305697674</v>
      </c>
      <c r="P350" s="30">
        <v>597.53142251785357</v>
      </c>
      <c r="R350">
        <v>342</v>
      </c>
      <c r="S350" s="30">
        <v>248.97920574111805</v>
      </c>
      <c r="T350" s="30">
        <v>303.47038085534388</v>
      </c>
      <c r="U350" s="30">
        <v>154.9874537179129</v>
      </c>
      <c r="V350" s="30">
        <v>90.326641967436387</v>
      </c>
      <c r="W350" s="30">
        <v>56.564485416045272</v>
      </c>
      <c r="X350" s="30">
        <v>20.062722501115843</v>
      </c>
    </row>
    <row r="351" spans="10:24" x14ac:dyDescent="0.25">
      <c r="J351">
        <v>343</v>
      </c>
      <c r="K351" s="30">
        <v>3286.273525700632</v>
      </c>
      <c r="L351" s="30">
        <v>3147.2603490688216</v>
      </c>
      <c r="M351" s="30">
        <v>2595.5462497550402</v>
      </c>
      <c r="N351" s="30">
        <v>963.86942947636726</v>
      </c>
      <c r="O351" s="30">
        <v>31.438249605767851</v>
      </c>
      <c r="P351" s="30">
        <v>348.53072372275346</v>
      </c>
      <c r="R351">
        <v>343</v>
      </c>
      <c r="S351" s="30">
        <v>376.8951946531007</v>
      </c>
      <c r="T351" s="30">
        <v>338.90201604886397</v>
      </c>
      <c r="U351" s="30">
        <v>207.74372331563347</v>
      </c>
      <c r="V351" s="30">
        <v>0</v>
      </c>
      <c r="W351" s="30">
        <v>0</v>
      </c>
      <c r="X351" s="30">
        <v>0</v>
      </c>
    </row>
    <row r="352" spans="10:24" x14ac:dyDescent="0.25">
      <c r="J352">
        <v>344</v>
      </c>
      <c r="K352" s="30">
        <v>2379.5066218641746</v>
      </c>
      <c r="L352" s="30">
        <v>2488.9807910449977</v>
      </c>
      <c r="M352" s="30">
        <v>2604.3044825090701</v>
      </c>
      <c r="N352" s="30">
        <v>-1063.6914417718135</v>
      </c>
      <c r="O352" s="30">
        <v>659.9698128833561</v>
      </c>
      <c r="P352" s="30">
        <v>-1209.3616280636843</v>
      </c>
      <c r="R352">
        <v>344</v>
      </c>
      <c r="S352" s="30">
        <v>320.63714102217938</v>
      </c>
      <c r="T352" s="30">
        <v>281.30549298414161</v>
      </c>
      <c r="U352" s="30">
        <v>147.69014691129388</v>
      </c>
      <c r="V352" s="30">
        <v>0</v>
      </c>
      <c r="W352" s="30">
        <v>0</v>
      </c>
      <c r="X352" s="30">
        <v>0</v>
      </c>
    </row>
    <row r="353" spans="10:24" x14ac:dyDescent="0.25">
      <c r="J353">
        <v>345</v>
      </c>
      <c r="K353" s="30">
        <v>2930.6548434790961</v>
      </c>
      <c r="L353" s="30">
        <v>3345.2310829324401</v>
      </c>
      <c r="M353" s="30">
        <v>3456.4359567611759</v>
      </c>
      <c r="N353" s="30">
        <v>203.37588728884202</v>
      </c>
      <c r="O353" s="30">
        <v>1510.5840779552245</v>
      </c>
      <c r="P353" s="30">
        <v>-864.85771123482664</v>
      </c>
      <c r="R353">
        <v>345</v>
      </c>
      <c r="S353" s="30">
        <v>237.21409175747664</v>
      </c>
      <c r="T353" s="30">
        <v>275.95836584256693</v>
      </c>
      <c r="U353" s="30">
        <v>185.89336197567303</v>
      </c>
      <c r="V353" s="30">
        <v>0</v>
      </c>
      <c r="W353" s="30">
        <v>0</v>
      </c>
      <c r="X353" s="30">
        <v>0</v>
      </c>
    </row>
    <row r="354" spans="10:24" x14ac:dyDescent="0.25">
      <c r="J354">
        <v>346</v>
      </c>
      <c r="K354" s="30">
        <v>3925.6719733730997</v>
      </c>
      <c r="L354" s="30">
        <v>2650.8271155789798</v>
      </c>
      <c r="M354" s="30">
        <v>1856.4108343963271</v>
      </c>
      <c r="N354" s="30">
        <v>2223.639514925997</v>
      </c>
      <c r="O354" s="30">
        <v>517.25494605644053</v>
      </c>
      <c r="P354" s="30">
        <v>-497.41946632356576</v>
      </c>
      <c r="R354">
        <v>346</v>
      </c>
      <c r="S354" s="30">
        <v>222.82927695181331</v>
      </c>
      <c r="T354" s="30">
        <v>374.26598661858378</v>
      </c>
      <c r="U354" s="30">
        <v>198.03413369610035</v>
      </c>
      <c r="V354" s="30">
        <v>0</v>
      </c>
      <c r="W354" s="30">
        <v>32.813946200533337</v>
      </c>
      <c r="X354" s="30">
        <v>0</v>
      </c>
    </row>
    <row r="355" spans="10:24" x14ac:dyDescent="0.25">
      <c r="J355">
        <v>347</v>
      </c>
      <c r="K355" s="30">
        <v>4024.6553434952384</v>
      </c>
      <c r="L355" s="30">
        <v>2139.2900685017003</v>
      </c>
      <c r="M355" s="30">
        <v>2881.047815537574</v>
      </c>
      <c r="N355" s="30">
        <v>-13.683780589531125</v>
      </c>
      <c r="O355" s="30">
        <v>-1373.6924436422887</v>
      </c>
      <c r="P355" s="30">
        <v>116.40006424096009</v>
      </c>
      <c r="R355">
        <v>347</v>
      </c>
      <c r="S355" s="30">
        <v>330.00123311003745</v>
      </c>
      <c r="T355" s="30">
        <v>223.67936456537939</v>
      </c>
      <c r="U355" s="30">
        <v>190.09340092328739</v>
      </c>
      <c r="V355" s="30">
        <v>0</v>
      </c>
      <c r="W355" s="30">
        <v>0</v>
      </c>
      <c r="X355" s="30">
        <v>0</v>
      </c>
    </row>
    <row r="356" spans="10:24" x14ac:dyDescent="0.25">
      <c r="J356">
        <v>348</v>
      </c>
      <c r="K356" s="30">
        <v>2901.2414009269023</v>
      </c>
      <c r="L356" s="30">
        <v>4169.9572079798636</v>
      </c>
      <c r="M356" s="30">
        <v>3980.2950995765418</v>
      </c>
      <c r="N356" s="30">
        <v>-958.66772858095646</v>
      </c>
      <c r="O356" s="30">
        <v>949.55222509733539</v>
      </c>
      <c r="P356" s="30">
        <v>-334.51193485580279</v>
      </c>
      <c r="R356">
        <v>348</v>
      </c>
      <c r="S356" s="30">
        <v>174.84144330379183</v>
      </c>
      <c r="T356" s="30">
        <v>276.94631713383336</v>
      </c>
      <c r="U356" s="30">
        <v>73.42651631969369</v>
      </c>
      <c r="V356" s="30">
        <v>24.8518161149957</v>
      </c>
      <c r="W356" s="30">
        <v>84.240389002266397</v>
      </c>
      <c r="X356" s="30">
        <v>0</v>
      </c>
    </row>
    <row r="357" spans="10:24" x14ac:dyDescent="0.25">
      <c r="J357">
        <v>349</v>
      </c>
      <c r="K357" s="30">
        <v>2917.4169449103169</v>
      </c>
      <c r="L357" s="30">
        <v>3240.1026353830357</v>
      </c>
      <c r="M357" s="30">
        <v>2027.0639268010864</v>
      </c>
      <c r="N357" s="30">
        <v>1855.3995581487479</v>
      </c>
      <c r="O357" s="30">
        <v>41.827168881489342</v>
      </c>
      <c r="P357" s="30">
        <v>-1966.7969125834888</v>
      </c>
      <c r="R357">
        <v>349</v>
      </c>
      <c r="S357" s="30">
        <v>255.11996750826034</v>
      </c>
      <c r="T357" s="30">
        <v>228.67224322146745</v>
      </c>
      <c r="U357" s="30">
        <v>117.04896178080344</v>
      </c>
      <c r="V357" s="30">
        <v>67.424686846909708</v>
      </c>
      <c r="W357" s="30">
        <v>0</v>
      </c>
      <c r="X357" s="30">
        <v>0</v>
      </c>
    </row>
    <row r="358" spans="10:24" x14ac:dyDescent="0.25">
      <c r="J358">
        <v>350</v>
      </c>
      <c r="K358" s="30">
        <v>2376.0861695105755</v>
      </c>
      <c r="L358" s="30">
        <v>2507.6396295055574</v>
      </c>
      <c r="M358" s="30">
        <v>2531.7244853467082</v>
      </c>
      <c r="N358" s="30">
        <v>-36.454350431414241</v>
      </c>
      <c r="O358" s="30">
        <v>679.85535270907894</v>
      </c>
      <c r="P358" s="30">
        <v>-2011.0315664062773</v>
      </c>
      <c r="R358">
        <v>350</v>
      </c>
      <c r="S358" s="30">
        <v>275.9437631220365</v>
      </c>
      <c r="T358" s="30">
        <v>414.84086695499064</v>
      </c>
      <c r="U358" s="30">
        <v>182.09515053233602</v>
      </c>
      <c r="V358" s="30">
        <v>0</v>
      </c>
      <c r="W358" s="30">
        <v>0</v>
      </c>
      <c r="X358" s="30">
        <v>0</v>
      </c>
    </row>
    <row r="359" spans="10:24" x14ac:dyDescent="0.25">
      <c r="J359">
        <v>351</v>
      </c>
      <c r="K359" s="30">
        <v>4104.3485277469626</v>
      </c>
      <c r="L359" s="30">
        <v>3631.0629241451124</v>
      </c>
      <c r="M359" s="30">
        <v>1570.4310474454992</v>
      </c>
      <c r="N359" s="30">
        <v>1388.6111568743972</v>
      </c>
      <c r="O359" s="30">
        <v>1078.0664394113564</v>
      </c>
      <c r="P359" s="30">
        <v>1407.1941382535688</v>
      </c>
      <c r="R359">
        <v>351</v>
      </c>
      <c r="S359" s="30">
        <v>405.51728362875468</v>
      </c>
      <c r="T359" s="30">
        <v>342.39210638382718</v>
      </c>
      <c r="U359" s="30">
        <v>127.81803952744002</v>
      </c>
      <c r="V359" s="30">
        <v>0</v>
      </c>
      <c r="W359" s="30">
        <v>12.800853694129046</v>
      </c>
      <c r="X359" s="30">
        <v>0.38903995692908211</v>
      </c>
    </row>
    <row r="360" spans="10:24" x14ac:dyDescent="0.25">
      <c r="J360">
        <v>352</v>
      </c>
      <c r="K360" s="30">
        <v>3009.9933960834651</v>
      </c>
      <c r="L360" s="30">
        <v>2494.5290696387578</v>
      </c>
      <c r="M360" s="30">
        <v>2635.4265411695028</v>
      </c>
      <c r="N360" s="30">
        <v>1684.8107492904646</v>
      </c>
      <c r="O360" s="30">
        <v>-173.49789850759225</v>
      </c>
      <c r="P360" s="30">
        <v>1409.6852974979847</v>
      </c>
      <c r="R360">
        <v>352</v>
      </c>
      <c r="S360" s="30">
        <v>186.03708024942222</v>
      </c>
      <c r="T360" s="30">
        <v>215.88102144913114</v>
      </c>
      <c r="U360" s="30">
        <v>131.39914071961971</v>
      </c>
      <c r="V360" s="30">
        <v>100.2213673043828</v>
      </c>
      <c r="W360" s="30">
        <v>0</v>
      </c>
      <c r="X360" s="30">
        <v>0</v>
      </c>
    </row>
    <row r="361" spans="10:24" x14ac:dyDescent="0.25">
      <c r="J361">
        <v>353</v>
      </c>
      <c r="K361" s="30">
        <v>4097.4227029320846</v>
      </c>
      <c r="L361" s="30">
        <v>2631.4351136980886</v>
      </c>
      <c r="M361" s="30">
        <v>3609.2491583744472</v>
      </c>
      <c r="N361" s="30">
        <v>506.48894977438249</v>
      </c>
      <c r="O361" s="30">
        <v>4163.7652031310099</v>
      </c>
      <c r="P361" s="30">
        <v>1025.0441206999767</v>
      </c>
      <c r="R361">
        <v>353</v>
      </c>
      <c r="S361" s="30">
        <v>224.64436059506863</v>
      </c>
      <c r="T361" s="30">
        <v>348.50017877925609</v>
      </c>
      <c r="U361" s="30">
        <v>195.03330910916486</v>
      </c>
      <c r="V361" s="30">
        <v>0</v>
      </c>
      <c r="W361" s="30">
        <v>0</v>
      </c>
      <c r="X361" s="30">
        <v>0</v>
      </c>
    </row>
    <row r="362" spans="10:24" x14ac:dyDescent="0.25">
      <c r="J362">
        <v>354</v>
      </c>
      <c r="K362" s="30">
        <v>2266.8816870560731</v>
      </c>
      <c r="L362" s="30">
        <v>3981.4097722495594</v>
      </c>
      <c r="M362" s="30">
        <v>3083.3432701333668</v>
      </c>
      <c r="N362" s="30">
        <v>1065.0454308179806</v>
      </c>
      <c r="O362" s="30">
        <v>1011.9409078099534</v>
      </c>
      <c r="P362" s="30">
        <v>-164.59990077511156</v>
      </c>
      <c r="R362">
        <v>354</v>
      </c>
      <c r="S362" s="30">
        <v>288.77870636845165</v>
      </c>
      <c r="T362" s="30">
        <v>299.52829691351388</v>
      </c>
      <c r="U362" s="30">
        <v>139.91033077954216</v>
      </c>
      <c r="V362" s="30">
        <v>0</v>
      </c>
      <c r="W362" s="30">
        <v>0</v>
      </c>
      <c r="X362" s="30">
        <v>0</v>
      </c>
    </row>
    <row r="363" spans="10:24" x14ac:dyDescent="0.25">
      <c r="J363">
        <v>355</v>
      </c>
      <c r="K363" s="30">
        <v>2711.7718736297657</v>
      </c>
      <c r="L363" s="30">
        <v>3472.4383882843485</v>
      </c>
      <c r="M363" s="30">
        <v>3631.2611900791308</v>
      </c>
      <c r="N363" s="30">
        <v>746.22365231715594</v>
      </c>
      <c r="O363" s="30">
        <v>-91.902969266307082</v>
      </c>
      <c r="P363" s="30">
        <v>917.7750629133252</v>
      </c>
      <c r="R363">
        <v>355</v>
      </c>
      <c r="S363" s="30">
        <v>287.23645907328341</v>
      </c>
      <c r="T363" s="30">
        <v>332.47478018883783</v>
      </c>
      <c r="U363" s="30">
        <v>177.70814407574261</v>
      </c>
      <c r="V363" s="30">
        <v>38.501414897426571</v>
      </c>
      <c r="W363" s="30">
        <v>0</v>
      </c>
      <c r="X363" s="30">
        <v>0</v>
      </c>
    </row>
    <row r="364" spans="10:24" x14ac:dyDescent="0.25">
      <c r="J364">
        <v>356</v>
      </c>
      <c r="K364" s="30">
        <v>2430.0300374034532</v>
      </c>
      <c r="L364" s="30">
        <v>3860.5139577905293</v>
      </c>
      <c r="M364" s="30">
        <v>2649.5698931579318</v>
      </c>
      <c r="N364" s="30">
        <v>-9.0348630659591436</v>
      </c>
      <c r="O364" s="30">
        <v>2033.882344208585</v>
      </c>
      <c r="P364" s="30">
        <v>-312.16655059172808</v>
      </c>
      <c r="R364">
        <v>356</v>
      </c>
      <c r="S364" s="30">
        <v>177.49723530967111</v>
      </c>
      <c r="T364" s="30">
        <v>211.78681396260669</v>
      </c>
      <c r="U364" s="30">
        <v>126.99777564067188</v>
      </c>
      <c r="V364" s="30">
        <v>0</v>
      </c>
      <c r="W364" s="30">
        <v>0</v>
      </c>
      <c r="X364" s="30">
        <v>0</v>
      </c>
    </row>
    <row r="365" spans="10:24" x14ac:dyDescent="0.25">
      <c r="J365">
        <v>357</v>
      </c>
      <c r="K365" s="30">
        <v>2121.1349102735498</v>
      </c>
      <c r="L365" s="30">
        <v>2534.4348476217092</v>
      </c>
      <c r="M365" s="30">
        <v>1549.1485696905115</v>
      </c>
      <c r="N365" s="30">
        <v>1474.1760884873065</v>
      </c>
      <c r="O365" s="30">
        <v>382.84800768210516</v>
      </c>
      <c r="P365" s="30">
        <v>-1516.9323927289261</v>
      </c>
      <c r="R365">
        <v>357</v>
      </c>
      <c r="S365" s="30">
        <v>282.66834348875437</v>
      </c>
      <c r="T365" s="30">
        <v>245.31571139840679</v>
      </c>
      <c r="U365" s="30">
        <v>165.59736985329499</v>
      </c>
      <c r="V365" s="30">
        <v>0</v>
      </c>
      <c r="W365" s="30">
        <v>37.213551030261442</v>
      </c>
      <c r="X365" s="30">
        <v>0</v>
      </c>
    </row>
    <row r="366" spans="10:24" x14ac:dyDescent="0.25">
      <c r="J366">
        <v>358</v>
      </c>
      <c r="K366" s="30">
        <v>2756.9094120551458</v>
      </c>
      <c r="L366" s="30">
        <v>3134.8940172635475</v>
      </c>
      <c r="M366" s="30">
        <v>2454.8767733705145</v>
      </c>
      <c r="N366" s="30">
        <v>554.35559617805848</v>
      </c>
      <c r="O366" s="30">
        <v>1087.0801377108974</v>
      </c>
      <c r="P366" s="30">
        <v>170.50999478482572</v>
      </c>
      <c r="R366">
        <v>358</v>
      </c>
      <c r="S366" s="30">
        <v>171.86170247571999</v>
      </c>
      <c r="T366" s="30">
        <v>293.95574310570646</v>
      </c>
      <c r="U366" s="30">
        <v>232.08999116683611</v>
      </c>
      <c r="V366" s="30">
        <v>0</v>
      </c>
      <c r="W366" s="30">
        <v>0</v>
      </c>
      <c r="X366" s="30">
        <v>0</v>
      </c>
    </row>
    <row r="367" spans="10:24" x14ac:dyDescent="0.25">
      <c r="J367">
        <v>359</v>
      </c>
      <c r="K367" s="30">
        <v>2973.4285993891735</v>
      </c>
      <c r="L367" s="30">
        <v>4042.0836772189791</v>
      </c>
      <c r="M367" s="30">
        <v>2274.2345620459391</v>
      </c>
      <c r="N367" s="30">
        <v>149.7035766410936</v>
      </c>
      <c r="O367" s="30">
        <v>2259.6907942087701</v>
      </c>
      <c r="P367" s="30">
        <v>760.92797388205327</v>
      </c>
      <c r="R367">
        <v>359</v>
      </c>
      <c r="S367" s="30">
        <v>170.85059108569482</v>
      </c>
      <c r="T367" s="30">
        <v>286.86709321660834</v>
      </c>
      <c r="U367" s="30">
        <v>131.54379607977774</v>
      </c>
      <c r="V367" s="30">
        <v>0</v>
      </c>
      <c r="W367" s="30">
        <v>0</v>
      </c>
      <c r="X367" s="30">
        <v>0</v>
      </c>
    </row>
    <row r="368" spans="10:24" x14ac:dyDescent="0.25">
      <c r="J368">
        <v>360</v>
      </c>
      <c r="K368" s="30">
        <v>3877.181168176206</v>
      </c>
      <c r="L368" s="30">
        <v>2182.4160278039922</v>
      </c>
      <c r="M368" s="30">
        <v>2989.5541790483553</v>
      </c>
      <c r="N368" s="30">
        <v>1234.4792007368669</v>
      </c>
      <c r="O368" s="30">
        <v>424.23336804399878</v>
      </c>
      <c r="P368" s="30">
        <v>-902.73801911680675</v>
      </c>
      <c r="R368">
        <v>360</v>
      </c>
      <c r="S368" s="30">
        <v>336.93873120380505</v>
      </c>
      <c r="T368" s="30">
        <v>382.52570855916446</v>
      </c>
      <c r="U368" s="30">
        <v>128.13635544112151</v>
      </c>
      <c r="V368" s="30">
        <v>0</v>
      </c>
      <c r="W368" s="30">
        <v>0</v>
      </c>
      <c r="X368" s="30">
        <v>0</v>
      </c>
    </row>
    <row r="369" spans="10:24" x14ac:dyDescent="0.25">
      <c r="J369">
        <v>361</v>
      </c>
      <c r="K369" s="30">
        <v>2399.9548430944756</v>
      </c>
      <c r="L369" s="30">
        <v>2730.9296997113929</v>
      </c>
      <c r="M369" s="30">
        <v>3355.4715878282245</v>
      </c>
      <c r="N369" s="30">
        <v>-865.33672369886608</v>
      </c>
      <c r="O369" s="30">
        <v>2050.7631914646581</v>
      </c>
      <c r="P369" s="30">
        <v>350.72302745681736</v>
      </c>
      <c r="R369">
        <v>361</v>
      </c>
      <c r="S369" s="30">
        <v>165.89238369072478</v>
      </c>
      <c r="T369" s="30">
        <v>297.01193426621046</v>
      </c>
      <c r="U369" s="30">
        <v>83.77165094080101</v>
      </c>
      <c r="V369" s="30">
        <v>147.83813806938144</v>
      </c>
      <c r="W369" s="30">
        <v>0</v>
      </c>
      <c r="X369" s="30">
        <v>0</v>
      </c>
    </row>
    <row r="370" spans="10:24" x14ac:dyDescent="0.25">
      <c r="J370">
        <v>362</v>
      </c>
      <c r="K370" s="30">
        <v>3396.7107723827316</v>
      </c>
      <c r="L370" s="30">
        <v>4151.8362338086727</v>
      </c>
      <c r="M370" s="30">
        <v>2441.0448533746758</v>
      </c>
      <c r="N370" s="30">
        <v>-1709.7234972501228</v>
      </c>
      <c r="O370" s="30">
        <v>-289.75262651384764</v>
      </c>
      <c r="P370" s="30">
        <v>2156.4981576508726</v>
      </c>
      <c r="R370">
        <v>362</v>
      </c>
      <c r="S370" s="30">
        <v>188.63355007446069</v>
      </c>
      <c r="T370" s="30">
        <v>282.25016603018014</v>
      </c>
      <c r="U370" s="30">
        <v>168.35776724218198</v>
      </c>
      <c r="V370" s="30">
        <v>0</v>
      </c>
      <c r="W370" s="30">
        <v>0</v>
      </c>
      <c r="X370" s="30">
        <v>0</v>
      </c>
    </row>
    <row r="371" spans="10:24" x14ac:dyDescent="0.25">
      <c r="J371">
        <v>363</v>
      </c>
      <c r="K371" s="30">
        <v>3485.3687511483035</v>
      </c>
      <c r="L371" s="30">
        <v>2392.3956415644448</v>
      </c>
      <c r="M371" s="30">
        <v>3756.3688311529686</v>
      </c>
      <c r="N371" s="30">
        <v>1192.358908236979</v>
      </c>
      <c r="O371" s="30">
        <v>2233.1522596204231</v>
      </c>
      <c r="P371" s="30">
        <v>-1333.433779536711</v>
      </c>
      <c r="R371">
        <v>363</v>
      </c>
      <c r="S371" s="30">
        <v>252.70746036457791</v>
      </c>
      <c r="T371" s="30">
        <v>247.27124854850803</v>
      </c>
      <c r="U371" s="30">
        <v>131.24194102240068</v>
      </c>
      <c r="V371" s="30">
        <v>0</v>
      </c>
      <c r="W371" s="30">
        <v>0</v>
      </c>
      <c r="X371" s="30">
        <v>0</v>
      </c>
    </row>
    <row r="372" spans="10:24" x14ac:dyDescent="0.25">
      <c r="J372">
        <v>364</v>
      </c>
      <c r="K372" s="30">
        <v>3627.0165905612621</v>
      </c>
      <c r="L372" s="30">
        <v>3803.2073331986107</v>
      </c>
      <c r="M372" s="30">
        <v>2047.0556772875079</v>
      </c>
      <c r="N372" s="30">
        <v>3824.6833846520249</v>
      </c>
      <c r="O372" s="30">
        <v>1481.7715470811127</v>
      </c>
      <c r="P372" s="30">
        <v>-75.945698499448554</v>
      </c>
      <c r="R372">
        <v>364</v>
      </c>
      <c r="S372" s="30">
        <v>311.67847799603362</v>
      </c>
      <c r="T372" s="30">
        <v>247.77933683397072</v>
      </c>
      <c r="U372" s="30">
        <v>120.99709146641493</v>
      </c>
      <c r="V372" s="30">
        <v>0</v>
      </c>
      <c r="W372" s="30">
        <v>0</v>
      </c>
      <c r="X372" s="30">
        <v>25.791183883889005</v>
      </c>
    </row>
    <row r="373" spans="10:24" x14ac:dyDescent="0.25">
      <c r="J373">
        <v>365</v>
      </c>
      <c r="K373" s="30">
        <v>2154.1164839887474</v>
      </c>
      <c r="L373" s="30">
        <v>4156.6743941466448</v>
      </c>
      <c r="M373" s="30">
        <v>2449.8494844512456</v>
      </c>
      <c r="N373" s="30">
        <v>1297.8530722742726</v>
      </c>
      <c r="O373" s="30">
        <v>887.97966625319896</v>
      </c>
      <c r="P373" s="30">
        <v>-1683.3839972997612</v>
      </c>
      <c r="R373">
        <v>365</v>
      </c>
      <c r="S373" s="30">
        <v>204.61267648624914</v>
      </c>
      <c r="T373" s="30">
        <v>273.95213434540744</v>
      </c>
      <c r="U373" s="30">
        <v>229.51655308455634</v>
      </c>
      <c r="V373" s="30">
        <v>6.1186198934086633</v>
      </c>
      <c r="W373" s="30">
        <v>0</v>
      </c>
      <c r="X373" s="30">
        <v>0</v>
      </c>
    </row>
    <row r="374" spans="10:24" x14ac:dyDescent="0.25">
      <c r="J374">
        <v>366</v>
      </c>
      <c r="K374" s="30">
        <v>3071.1725210116019</v>
      </c>
      <c r="L374" s="30">
        <v>3140.8314191545351</v>
      </c>
      <c r="M374" s="30">
        <v>2398.2208254957259</v>
      </c>
      <c r="N374" s="30">
        <v>522.50928347848276</v>
      </c>
      <c r="O374" s="30">
        <v>437.79351975241116</v>
      </c>
      <c r="P374" s="30">
        <v>-2182.5605584491077</v>
      </c>
      <c r="R374">
        <v>366</v>
      </c>
      <c r="S374" s="30">
        <v>89.984472123884188</v>
      </c>
      <c r="T374" s="30">
        <v>357.39248358916831</v>
      </c>
      <c r="U374" s="30">
        <v>64.273446690205844</v>
      </c>
      <c r="V374" s="30">
        <v>0</v>
      </c>
      <c r="W374" s="30">
        <v>143.1333786160202</v>
      </c>
      <c r="X374" s="30">
        <v>0</v>
      </c>
    </row>
    <row r="375" spans="10:24" x14ac:dyDescent="0.25">
      <c r="J375">
        <v>367</v>
      </c>
      <c r="K375" s="30">
        <v>2707.1432623138726</v>
      </c>
      <c r="L375" s="30">
        <v>3216.8802296687727</v>
      </c>
      <c r="M375" s="30">
        <v>3777.3166708375788</v>
      </c>
      <c r="N375" s="30">
        <v>446.34474494520418</v>
      </c>
      <c r="O375" s="30">
        <v>1000.0577275425276</v>
      </c>
      <c r="P375" s="30">
        <v>2212.5428357680566</v>
      </c>
      <c r="R375">
        <v>367</v>
      </c>
      <c r="S375" s="30">
        <v>237.06921911609516</v>
      </c>
      <c r="T375" s="30">
        <v>247.72598590489298</v>
      </c>
      <c r="U375" s="30">
        <v>91.50315893711911</v>
      </c>
      <c r="V375" s="30">
        <v>3.6005207243385939</v>
      </c>
      <c r="W375" s="30">
        <v>0</v>
      </c>
      <c r="X375" s="30">
        <v>0</v>
      </c>
    </row>
    <row r="376" spans="10:24" x14ac:dyDescent="0.25">
      <c r="J376">
        <v>368</v>
      </c>
      <c r="K376" s="30">
        <v>4172.5686281468988</v>
      </c>
      <c r="L376" s="30">
        <v>2742.7502690527772</v>
      </c>
      <c r="M376" s="30">
        <v>1230.5369941894205</v>
      </c>
      <c r="N376" s="30">
        <v>901.79812070408934</v>
      </c>
      <c r="O376" s="30">
        <v>3205.6664439786618</v>
      </c>
      <c r="P376" s="30">
        <v>6.9425264670981051</v>
      </c>
      <c r="R376">
        <v>368</v>
      </c>
      <c r="S376" s="30">
        <v>181.39022195254898</v>
      </c>
      <c r="T376" s="30">
        <v>140.14297857657732</v>
      </c>
      <c r="U376" s="30">
        <v>278.15452419740194</v>
      </c>
      <c r="V376" s="30">
        <v>0</v>
      </c>
      <c r="W376" s="30">
        <v>10.514412445072367</v>
      </c>
      <c r="X376" s="30">
        <v>0</v>
      </c>
    </row>
    <row r="377" spans="10:24" x14ac:dyDescent="0.25">
      <c r="J377">
        <v>369</v>
      </c>
      <c r="K377" s="30">
        <v>3395.9172400124589</v>
      </c>
      <c r="L377" s="30">
        <v>4100.4080233383884</v>
      </c>
      <c r="M377" s="30">
        <v>2566.436982445774</v>
      </c>
      <c r="N377" s="30">
        <v>-89.079898484519617</v>
      </c>
      <c r="O377" s="30">
        <v>2180.4562134735133</v>
      </c>
      <c r="P377" s="30">
        <v>-1478.568606418773</v>
      </c>
      <c r="R377">
        <v>369</v>
      </c>
      <c r="S377" s="30">
        <v>168.82728723040901</v>
      </c>
      <c r="T377" s="30">
        <v>280.55601470189964</v>
      </c>
      <c r="U377" s="30">
        <v>70.866888313624656</v>
      </c>
      <c r="V377" s="30">
        <v>0</v>
      </c>
      <c r="W377" s="30">
        <v>0</v>
      </c>
      <c r="X377" s="30">
        <v>0</v>
      </c>
    </row>
    <row r="378" spans="10:24" x14ac:dyDescent="0.25">
      <c r="J378">
        <v>370</v>
      </c>
      <c r="K378" s="30">
        <v>2085.180471244033</v>
      </c>
      <c r="L378" s="30">
        <v>2961.7444168502684</v>
      </c>
      <c r="M378" s="30">
        <v>2881.7932232045282</v>
      </c>
      <c r="N378" s="30">
        <v>442.4180302971572</v>
      </c>
      <c r="O378" s="30">
        <v>1764.5500000765633</v>
      </c>
      <c r="P378" s="30">
        <v>-2065.1196659128364</v>
      </c>
      <c r="R378">
        <v>370</v>
      </c>
      <c r="S378" s="30">
        <v>310.05377233043413</v>
      </c>
      <c r="T378" s="30">
        <v>397.67642221298775</v>
      </c>
      <c r="U378" s="30">
        <v>100.07090844032109</v>
      </c>
      <c r="V378" s="30">
        <v>0</v>
      </c>
      <c r="W378" s="30">
        <v>78.987505558505745</v>
      </c>
      <c r="X378" s="30">
        <v>0</v>
      </c>
    </row>
    <row r="379" spans="10:24" x14ac:dyDescent="0.25">
      <c r="J379">
        <v>371</v>
      </c>
      <c r="K379" s="30">
        <v>2808.6777544962106</v>
      </c>
      <c r="L379" s="30">
        <v>4026.7960253900828</v>
      </c>
      <c r="M379" s="30">
        <v>2445.3721894534756</v>
      </c>
      <c r="N379" s="30">
        <v>1934.9028688963472</v>
      </c>
      <c r="O379" s="30">
        <v>749.35515143462908</v>
      </c>
      <c r="P379" s="30">
        <v>-798.34793463260849</v>
      </c>
      <c r="R379">
        <v>371</v>
      </c>
      <c r="S379" s="30">
        <v>351.5898355288283</v>
      </c>
      <c r="T379" s="30">
        <v>214.62512917225365</v>
      </c>
      <c r="U379" s="30">
        <v>133.49474329371714</v>
      </c>
      <c r="V379" s="30">
        <v>0</v>
      </c>
      <c r="W379" s="30">
        <v>140.41609847201465</v>
      </c>
      <c r="X379" s="30">
        <v>0</v>
      </c>
    </row>
    <row r="380" spans="10:24" x14ac:dyDescent="0.25">
      <c r="J380">
        <v>372</v>
      </c>
      <c r="K380" s="30">
        <v>2671.43854715614</v>
      </c>
      <c r="L380" s="30">
        <v>2706.3417537212003</v>
      </c>
      <c r="M380" s="30">
        <v>2173.6326440104153</v>
      </c>
      <c r="N380" s="30">
        <v>564.00909374300772</v>
      </c>
      <c r="O380" s="30">
        <v>1081.2212118811585</v>
      </c>
      <c r="P380" s="30">
        <v>-1602.840636109856</v>
      </c>
      <c r="R380">
        <v>372</v>
      </c>
      <c r="S380" s="30">
        <v>226.63508811214643</v>
      </c>
      <c r="T380" s="30">
        <v>295.3448428747177</v>
      </c>
      <c r="U380" s="30">
        <v>45.711971345052234</v>
      </c>
      <c r="V380" s="30">
        <v>0</v>
      </c>
      <c r="W380" s="30">
        <v>11.073891011912906</v>
      </c>
      <c r="X380" s="30">
        <v>0</v>
      </c>
    </row>
    <row r="381" spans="10:24" x14ac:dyDescent="0.25">
      <c r="J381">
        <v>373</v>
      </c>
      <c r="K381" s="30">
        <v>3278.1101338908429</v>
      </c>
      <c r="L381" s="30">
        <v>2353.620722021355</v>
      </c>
      <c r="M381" s="30">
        <v>2228.4197023781148</v>
      </c>
      <c r="N381" s="30">
        <v>2016.3269498272703</v>
      </c>
      <c r="O381" s="30">
        <v>1984.7760082245022</v>
      </c>
      <c r="P381" s="30">
        <v>-311.90427320296476</v>
      </c>
      <c r="R381">
        <v>373</v>
      </c>
      <c r="S381" s="30">
        <v>326.66635087354013</v>
      </c>
      <c r="T381" s="30">
        <v>314.59420654464174</v>
      </c>
      <c r="U381" s="30">
        <v>258.29034043222606</v>
      </c>
      <c r="V381" s="30">
        <v>120.78873043782619</v>
      </c>
      <c r="W381" s="30">
        <v>0</v>
      </c>
      <c r="X381" s="30">
        <v>0</v>
      </c>
    </row>
    <row r="382" spans="10:24" x14ac:dyDescent="0.25">
      <c r="J382">
        <v>374</v>
      </c>
      <c r="K382" s="30">
        <v>3093.4321412674872</v>
      </c>
      <c r="L382" s="30">
        <v>2866.2081861934889</v>
      </c>
      <c r="M382" s="30">
        <v>3792.1312755976751</v>
      </c>
      <c r="N382" s="30">
        <v>427.96124946569125</v>
      </c>
      <c r="O382" s="30">
        <v>1045.6342745297625</v>
      </c>
      <c r="P382" s="30">
        <v>1684.1960049390527</v>
      </c>
      <c r="R382">
        <v>374</v>
      </c>
      <c r="S382" s="30">
        <v>264.83841713239019</v>
      </c>
      <c r="T382" s="30">
        <v>374.99895886654912</v>
      </c>
      <c r="U382" s="30">
        <v>238.87278899827993</v>
      </c>
      <c r="V382" s="30">
        <v>0</v>
      </c>
      <c r="W382" s="30">
        <v>7.8730098868201139</v>
      </c>
      <c r="X382" s="30">
        <v>0</v>
      </c>
    </row>
    <row r="383" spans="10:24" x14ac:dyDescent="0.25">
      <c r="J383">
        <v>375</v>
      </c>
      <c r="K383" s="30">
        <v>1397.0097579663529</v>
      </c>
      <c r="L383" s="30">
        <v>3138.2629043965439</v>
      </c>
      <c r="M383" s="30">
        <v>2367.4122580687908</v>
      </c>
      <c r="N383" s="30">
        <v>-340.38184283972623</v>
      </c>
      <c r="O383" s="30">
        <v>-812.04510365527858</v>
      </c>
      <c r="P383" s="30">
        <v>-1121.7211547011748</v>
      </c>
      <c r="R383">
        <v>375</v>
      </c>
      <c r="S383" s="30">
        <v>365.01330155589835</v>
      </c>
      <c r="T383" s="30">
        <v>281.43764250971742</v>
      </c>
      <c r="U383" s="30">
        <v>131.14652593353117</v>
      </c>
      <c r="V383" s="30">
        <v>0</v>
      </c>
      <c r="W383" s="30">
        <v>0</v>
      </c>
      <c r="X383" s="30">
        <v>0</v>
      </c>
    </row>
    <row r="384" spans="10:24" x14ac:dyDescent="0.25">
      <c r="J384">
        <v>376</v>
      </c>
      <c r="K384" s="30">
        <v>3767.6126947434695</v>
      </c>
      <c r="L384" s="30">
        <v>2683.3655333314305</v>
      </c>
      <c r="M384" s="30">
        <v>2087.0808424698143</v>
      </c>
      <c r="N384" s="30">
        <v>304.40261476551132</v>
      </c>
      <c r="O384" s="30">
        <v>-627.4386350079285</v>
      </c>
      <c r="P384" s="30">
        <v>216.28742321040681</v>
      </c>
      <c r="R384">
        <v>376</v>
      </c>
      <c r="S384" s="30">
        <v>137.57890271178269</v>
      </c>
      <c r="T384" s="30">
        <v>272.73295241050067</v>
      </c>
      <c r="U384" s="30">
        <v>147.95483204462113</v>
      </c>
      <c r="V384" s="30">
        <v>0</v>
      </c>
      <c r="W384" s="30">
        <v>0</v>
      </c>
      <c r="X384" s="30">
        <v>0</v>
      </c>
    </row>
    <row r="385" spans="10:24" x14ac:dyDescent="0.25">
      <c r="J385">
        <v>377</v>
      </c>
      <c r="K385" s="30">
        <v>2245.2040216024689</v>
      </c>
      <c r="L385" s="30">
        <v>2048.2036685113071</v>
      </c>
      <c r="M385" s="30">
        <v>1999.8964862427438</v>
      </c>
      <c r="N385" s="30">
        <v>272.29354640000929</v>
      </c>
      <c r="O385" s="30">
        <v>340.8966630139048</v>
      </c>
      <c r="P385" s="30">
        <v>-1516.3375393799643</v>
      </c>
      <c r="R385">
        <v>377</v>
      </c>
      <c r="S385" s="30">
        <v>171.93613532748594</v>
      </c>
      <c r="T385" s="30">
        <v>258.72823816986914</v>
      </c>
      <c r="U385" s="30">
        <v>76.978843330321922</v>
      </c>
      <c r="V385" s="30">
        <v>0</v>
      </c>
      <c r="W385" s="30">
        <v>0</v>
      </c>
      <c r="X385" s="30">
        <v>0</v>
      </c>
    </row>
    <row r="386" spans="10:24" x14ac:dyDescent="0.25">
      <c r="J386">
        <v>378</v>
      </c>
      <c r="K386" s="30">
        <v>2567.6407960356719</v>
      </c>
      <c r="L386" s="30">
        <v>2324.4815467068879</v>
      </c>
      <c r="M386" s="30">
        <v>2680.3074351194819</v>
      </c>
      <c r="N386" s="30">
        <v>1737.5788347252674</v>
      </c>
      <c r="O386" s="30">
        <v>890.70014710428768</v>
      </c>
      <c r="P386" s="30">
        <v>-60.538112293980703</v>
      </c>
      <c r="R386">
        <v>378</v>
      </c>
      <c r="S386" s="30">
        <v>262.73951962553281</v>
      </c>
      <c r="T386" s="30">
        <v>286.08639499615884</v>
      </c>
      <c r="U386" s="30">
        <v>240.39929008114945</v>
      </c>
      <c r="V386" s="30">
        <v>0</v>
      </c>
      <c r="W386" s="30">
        <v>0</v>
      </c>
      <c r="X386" s="30">
        <v>0</v>
      </c>
    </row>
    <row r="387" spans="10:24" x14ac:dyDescent="0.25">
      <c r="J387">
        <v>379</v>
      </c>
      <c r="K387" s="30">
        <v>2923.8298284908283</v>
      </c>
      <c r="L387" s="30">
        <v>1989.0149131518137</v>
      </c>
      <c r="M387" s="30">
        <v>2730.458207152195</v>
      </c>
      <c r="N387" s="30">
        <v>1327.4153571602201</v>
      </c>
      <c r="O387" s="30">
        <v>-184.80968673984353</v>
      </c>
      <c r="P387" s="30">
        <v>204.79385767445638</v>
      </c>
      <c r="R387">
        <v>379</v>
      </c>
      <c r="S387" s="30">
        <v>233.00212092798512</v>
      </c>
      <c r="T387" s="30">
        <v>399.61622721462754</v>
      </c>
      <c r="U387" s="30">
        <v>146.88688423580078</v>
      </c>
      <c r="V387" s="30">
        <v>0</v>
      </c>
      <c r="W387" s="30">
        <v>41.060804087430597</v>
      </c>
      <c r="X387" s="30">
        <v>0</v>
      </c>
    </row>
    <row r="388" spans="10:24" x14ac:dyDescent="0.25">
      <c r="J388">
        <v>380</v>
      </c>
      <c r="K388" s="30">
        <v>2705.2700003065966</v>
      </c>
      <c r="L388" s="30">
        <v>2746.3153175677417</v>
      </c>
      <c r="M388" s="30">
        <v>3737.7618245532176</v>
      </c>
      <c r="N388" s="30">
        <v>-1792.1778373925263</v>
      </c>
      <c r="O388" s="30">
        <v>3821.4107514947091</v>
      </c>
      <c r="P388" s="30">
        <v>989.47839225690495</v>
      </c>
      <c r="R388">
        <v>380</v>
      </c>
      <c r="S388" s="30">
        <v>200.47901775821634</v>
      </c>
      <c r="T388" s="30">
        <v>256.87323613216626</v>
      </c>
      <c r="U388" s="30">
        <v>172.47534064893694</v>
      </c>
      <c r="V388" s="30">
        <v>0</v>
      </c>
      <c r="W388" s="30">
        <v>38.626540936560332</v>
      </c>
      <c r="X388" s="30">
        <v>62.094364792276906</v>
      </c>
    </row>
    <row r="389" spans="10:24" x14ac:dyDescent="0.25">
      <c r="J389">
        <v>381</v>
      </c>
      <c r="K389" s="30">
        <v>3805.9524242794337</v>
      </c>
      <c r="L389" s="30">
        <v>2764.9370981371467</v>
      </c>
      <c r="M389" s="30">
        <v>3767.1759167948935</v>
      </c>
      <c r="N389" s="30">
        <v>359.52949812245788</v>
      </c>
      <c r="O389" s="30">
        <v>1166.9485218622613</v>
      </c>
      <c r="P389" s="30">
        <v>-356.3139572797063</v>
      </c>
      <c r="R389">
        <v>381</v>
      </c>
      <c r="S389" s="30">
        <v>254.41572590112935</v>
      </c>
      <c r="T389" s="30">
        <v>307.18281932011746</v>
      </c>
      <c r="U389" s="30">
        <v>286.46363620144399</v>
      </c>
      <c r="V389" s="30">
        <v>15.419334536299743</v>
      </c>
      <c r="W389" s="30">
        <v>0</v>
      </c>
      <c r="X389" s="30">
        <v>0</v>
      </c>
    </row>
    <row r="390" spans="10:24" x14ac:dyDescent="0.25">
      <c r="J390">
        <v>382</v>
      </c>
      <c r="K390" s="30">
        <v>2976.358848051088</v>
      </c>
      <c r="L390" s="30">
        <v>4103.3481343781568</v>
      </c>
      <c r="M390" s="30">
        <v>3750.2367026912871</v>
      </c>
      <c r="N390" s="30">
        <v>1139.3535941215869</v>
      </c>
      <c r="O390" s="30">
        <v>2505.4450410998334</v>
      </c>
      <c r="P390" s="30">
        <v>-1054.2030315689517</v>
      </c>
      <c r="R390">
        <v>382</v>
      </c>
      <c r="S390" s="30">
        <v>278.53766726465432</v>
      </c>
      <c r="T390" s="30">
        <v>319.88671001631388</v>
      </c>
      <c r="U390" s="30">
        <v>119.42699128939893</v>
      </c>
      <c r="V390" s="30">
        <v>0</v>
      </c>
      <c r="W390" s="30">
        <v>0</v>
      </c>
      <c r="X390" s="30">
        <v>0</v>
      </c>
    </row>
    <row r="391" spans="10:24" x14ac:dyDescent="0.25">
      <c r="J391">
        <v>383</v>
      </c>
      <c r="K391" s="30">
        <v>2065.2208384540659</v>
      </c>
      <c r="L391" s="30">
        <v>4103.4578536556428</v>
      </c>
      <c r="M391" s="30">
        <v>1864.5018373477551</v>
      </c>
      <c r="N391" s="30">
        <v>-2087.9146297399766</v>
      </c>
      <c r="O391" s="30">
        <v>47.598865874190778</v>
      </c>
      <c r="P391" s="30">
        <v>751.50724072312823</v>
      </c>
      <c r="R391">
        <v>383</v>
      </c>
      <c r="S391" s="30">
        <v>220.04689419154812</v>
      </c>
      <c r="T391" s="30">
        <v>249.46715426738518</v>
      </c>
      <c r="U391" s="30">
        <v>170.39871519685397</v>
      </c>
      <c r="V391" s="30">
        <v>0</v>
      </c>
      <c r="W391" s="30">
        <v>0</v>
      </c>
      <c r="X391" s="30">
        <v>0</v>
      </c>
    </row>
    <row r="392" spans="10:24" x14ac:dyDescent="0.25">
      <c r="J392">
        <v>384</v>
      </c>
      <c r="K392" s="30">
        <v>3968.4509274955026</v>
      </c>
      <c r="L392" s="30">
        <v>3747.7784484391336</v>
      </c>
      <c r="M392" s="30">
        <v>3949.9353573101166</v>
      </c>
      <c r="N392" s="30">
        <v>760.79530002975025</v>
      </c>
      <c r="O392" s="30">
        <v>1828.113738241731</v>
      </c>
      <c r="P392" s="30">
        <v>-1410.8855728162207</v>
      </c>
      <c r="R392">
        <v>384</v>
      </c>
      <c r="S392" s="30">
        <v>327.89334898793675</v>
      </c>
      <c r="T392" s="30">
        <v>371.8061934456311</v>
      </c>
      <c r="U392" s="30">
        <v>191.82314466624041</v>
      </c>
      <c r="V392" s="30">
        <v>0</v>
      </c>
      <c r="W392" s="30">
        <v>76.819932546977725</v>
      </c>
      <c r="X392" s="30">
        <v>0</v>
      </c>
    </row>
    <row r="393" spans="10:24" x14ac:dyDescent="0.25">
      <c r="J393">
        <v>385</v>
      </c>
      <c r="K393" s="30">
        <v>1781.3514929514658</v>
      </c>
      <c r="L393" s="30">
        <v>4424.4017265503699</v>
      </c>
      <c r="M393" s="30">
        <v>2945.7134225738127</v>
      </c>
      <c r="N393" s="30">
        <v>3018.1802036135732</v>
      </c>
      <c r="O393" s="30">
        <v>479.76930134493341</v>
      </c>
      <c r="P393" s="30">
        <v>-1083.7148403360716</v>
      </c>
      <c r="R393">
        <v>385</v>
      </c>
      <c r="S393" s="30">
        <v>297.22351318673407</v>
      </c>
      <c r="T393" s="30">
        <v>393.24992043179208</v>
      </c>
      <c r="U393" s="30">
        <v>166.26812978609053</v>
      </c>
      <c r="V393" s="30">
        <v>0</v>
      </c>
      <c r="W393" s="30">
        <v>0</v>
      </c>
      <c r="X393" s="30">
        <v>0</v>
      </c>
    </row>
    <row r="394" spans="10:24" x14ac:dyDescent="0.25">
      <c r="J394">
        <v>386</v>
      </c>
      <c r="K394" s="30">
        <v>2663.7829345312539</v>
      </c>
      <c r="L394" s="30">
        <v>2959.9481118275517</v>
      </c>
      <c r="M394" s="30">
        <v>2825.4251452060957</v>
      </c>
      <c r="N394" s="30">
        <v>2746.8927214153364</v>
      </c>
      <c r="O394" s="30">
        <v>1998.3877677759119</v>
      </c>
      <c r="P394" s="30">
        <v>-941.53782959546425</v>
      </c>
      <c r="R394">
        <v>386</v>
      </c>
      <c r="S394" s="30">
        <v>244.99355429977192</v>
      </c>
      <c r="T394" s="30">
        <v>236.48359588829157</v>
      </c>
      <c r="U394" s="30">
        <v>271.78181575793292</v>
      </c>
      <c r="V394" s="30">
        <v>88.128752221229547</v>
      </c>
      <c r="W394" s="30">
        <v>2.4611210450942735</v>
      </c>
      <c r="X394" s="30">
        <v>0</v>
      </c>
    </row>
    <row r="395" spans="10:24" x14ac:dyDescent="0.25">
      <c r="J395">
        <v>387</v>
      </c>
      <c r="K395" s="30">
        <v>3457.3448925695243</v>
      </c>
      <c r="L395" s="30">
        <v>3688.8877022012639</v>
      </c>
      <c r="M395" s="30">
        <v>3069.7724109736778</v>
      </c>
      <c r="N395" s="30">
        <v>1738.5380703853516</v>
      </c>
      <c r="O395" s="30">
        <v>824.5122546688699</v>
      </c>
      <c r="P395" s="30">
        <v>-1565.512719106534</v>
      </c>
      <c r="R395">
        <v>387</v>
      </c>
      <c r="S395" s="30">
        <v>188.6717569858082</v>
      </c>
      <c r="T395" s="30">
        <v>203.26556144326094</v>
      </c>
      <c r="U395" s="30">
        <v>243.56275594691971</v>
      </c>
      <c r="V395" s="30">
        <v>0</v>
      </c>
      <c r="W395" s="30">
        <v>0</v>
      </c>
      <c r="X395" s="30">
        <v>0</v>
      </c>
    </row>
    <row r="396" spans="10:24" x14ac:dyDescent="0.25">
      <c r="J396">
        <v>388</v>
      </c>
      <c r="K396" s="30">
        <v>2773.5266046428405</v>
      </c>
      <c r="L396" s="30">
        <v>2883.2115516011418</v>
      </c>
      <c r="M396" s="30">
        <v>3552.8541673092259</v>
      </c>
      <c r="N396" s="30">
        <v>1437.1898987550276</v>
      </c>
      <c r="O396" s="30">
        <v>2241.79240285587</v>
      </c>
      <c r="P396" s="30">
        <v>-1140.8426543968681</v>
      </c>
      <c r="R396">
        <v>388</v>
      </c>
      <c r="S396" s="30">
        <v>187.76434866599328</v>
      </c>
      <c r="T396" s="30">
        <v>303.05505222022276</v>
      </c>
      <c r="U396" s="30">
        <v>124.9736547115856</v>
      </c>
      <c r="V396" s="30">
        <v>0</v>
      </c>
      <c r="W396" s="30">
        <v>0</v>
      </c>
      <c r="X396" s="30">
        <v>18.586272648464615</v>
      </c>
    </row>
    <row r="397" spans="10:24" x14ac:dyDescent="0.25">
      <c r="J397">
        <v>389</v>
      </c>
      <c r="K397" s="30">
        <v>3634.3237259370726</v>
      </c>
      <c r="L397" s="30">
        <v>3774.9975944313637</v>
      </c>
      <c r="M397" s="30">
        <v>2554.9578056210107</v>
      </c>
      <c r="N397" s="30">
        <v>381.44569451691768</v>
      </c>
      <c r="O397" s="30">
        <v>1447.3554636850304</v>
      </c>
      <c r="P397" s="30">
        <v>127.1897159716309</v>
      </c>
      <c r="R397">
        <v>389</v>
      </c>
      <c r="S397" s="30">
        <v>236.29866848133412</v>
      </c>
      <c r="T397" s="30">
        <v>432.00344072233997</v>
      </c>
      <c r="U397" s="30">
        <v>215.32107525227252</v>
      </c>
      <c r="V397" s="30">
        <v>0</v>
      </c>
      <c r="W397" s="30">
        <v>0</v>
      </c>
      <c r="X397" s="30">
        <v>0</v>
      </c>
    </row>
    <row r="398" spans="10:24" x14ac:dyDescent="0.25">
      <c r="J398">
        <v>390</v>
      </c>
      <c r="K398" s="30">
        <v>3784.2163908721732</v>
      </c>
      <c r="L398" s="30">
        <v>2525.1610108336881</v>
      </c>
      <c r="M398" s="30">
        <v>3661.1138866631622</v>
      </c>
      <c r="N398" s="30">
        <v>706.03499677433319</v>
      </c>
      <c r="O398" s="30">
        <v>532.64825402699807</v>
      </c>
      <c r="P398" s="30">
        <v>-2015.3472553654483</v>
      </c>
      <c r="R398">
        <v>390</v>
      </c>
      <c r="S398" s="30">
        <v>225.03912828384892</v>
      </c>
      <c r="T398" s="30">
        <v>318.00894765869515</v>
      </c>
      <c r="U398" s="30">
        <v>47.096383707987911</v>
      </c>
      <c r="V398" s="30">
        <v>0</v>
      </c>
      <c r="W398" s="30">
        <v>118.05408980364285</v>
      </c>
      <c r="X398" s="30">
        <v>0</v>
      </c>
    </row>
    <row r="399" spans="10:24" x14ac:dyDescent="0.25">
      <c r="J399">
        <v>391</v>
      </c>
      <c r="K399" s="30">
        <v>4045.6454801489708</v>
      </c>
      <c r="L399" s="30">
        <v>3526.2051863719907</v>
      </c>
      <c r="M399" s="30">
        <v>2073.3721714567841</v>
      </c>
      <c r="N399" s="30">
        <v>1620.7818418904108</v>
      </c>
      <c r="O399" s="30">
        <v>333.19786510757058</v>
      </c>
      <c r="P399" s="30">
        <v>-1133.3799963521842</v>
      </c>
      <c r="R399">
        <v>391</v>
      </c>
      <c r="S399" s="30">
        <v>149.32296353927842</v>
      </c>
      <c r="T399" s="30">
        <v>324.39918340262989</v>
      </c>
      <c r="U399" s="30">
        <v>76.882169392639014</v>
      </c>
      <c r="V399" s="30">
        <v>0</v>
      </c>
      <c r="W399" s="30">
        <v>5.4563982410985545</v>
      </c>
      <c r="X399" s="30">
        <v>2.1045186659868023</v>
      </c>
    </row>
    <row r="400" spans="10:24" x14ac:dyDescent="0.25">
      <c r="J400">
        <v>392</v>
      </c>
      <c r="K400" s="30">
        <v>2878.0909003091797</v>
      </c>
      <c r="L400" s="30">
        <v>2892.7193279109315</v>
      </c>
      <c r="M400" s="30">
        <v>2718.1723370444406</v>
      </c>
      <c r="N400" s="30">
        <v>2626.0249812283701</v>
      </c>
      <c r="O400" s="30">
        <v>2385.03447910061</v>
      </c>
      <c r="P400" s="30">
        <v>-1542.8133017822884</v>
      </c>
      <c r="R400">
        <v>392</v>
      </c>
      <c r="S400" s="30">
        <v>192.46242723483539</v>
      </c>
      <c r="T400" s="30">
        <v>413.53614309446743</v>
      </c>
      <c r="U400" s="30">
        <v>209.25800251841241</v>
      </c>
      <c r="V400" s="30">
        <v>0</v>
      </c>
      <c r="W400" s="30">
        <v>0</v>
      </c>
      <c r="X400" s="30">
        <v>0</v>
      </c>
    </row>
    <row r="401" spans="10:24" x14ac:dyDescent="0.25">
      <c r="J401">
        <v>393</v>
      </c>
      <c r="K401" s="30">
        <v>3691.1715417526771</v>
      </c>
      <c r="L401" s="30">
        <v>4230.2308473774519</v>
      </c>
      <c r="M401" s="30">
        <v>562.73864451463305</v>
      </c>
      <c r="N401" s="30">
        <v>1446.0409216615562</v>
      </c>
      <c r="O401" s="30">
        <v>182.70728895278808</v>
      </c>
      <c r="P401" s="30">
        <v>-2164.6987565589016</v>
      </c>
      <c r="R401">
        <v>393</v>
      </c>
      <c r="S401" s="30">
        <v>190.75537294240115</v>
      </c>
      <c r="T401" s="30">
        <v>268.24170382082417</v>
      </c>
      <c r="U401" s="30">
        <v>254.23095184145819</v>
      </c>
      <c r="V401" s="30">
        <v>0</v>
      </c>
      <c r="W401" s="30">
        <v>103.91351287897413</v>
      </c>
      <c r="X401" s="30">
        <v>0</v>
      </c>
    </row>
    <row r="402" spans="10:24" x14ac:dyDescent="0.25">
      <c r="J402">
        <v>394</v>
      </c>
      <c r="K402" s="30">
        <v>4042.9277208649455</v>
      </c>
      <c r="L402" s="30">
        <v>4473.6879186658989</v>
      </c>
      <c r="M402" s="30">
        <v>1177.7998412640268</v>
      </c>
      <c r="N402" s="30">
        <v>-893.16866694105738</v>
      </c>
      <c r="O402" s="30">
        <v>1070.8644711187062</v>
      </c>
      <c r="P402" s="30">
        <v>-2228.6154003829779</v>
      </c>
      <c r="R402">
        <v>394</v>
      </c>
      <c r="S402" s="30">
        <v>165.45326684006108</v>
      </c>
      <c r="T402" s="30">
        <v>445.10223805641789</v>
      </c>
      <c r="U402" s="30">
        <v>79.838593206449332</v>
      </c>
      <c r="V402" s="30">
        <v>0</v>
      </c>
      <c r="W402" s="30">
        <v>0</v>
      </c>
      <c r="X402" s="30">
        <v>0</v>
      </c>
    </row>
    <row r="403" spans="10:24" x14ac:dyDescent="0.25">
      <c r="J403">
        <v>395</v>
      </c>
      <c r="K403" s="30">
        <v>2348.4985868357539</v>
      </c>
      <c r="L403" s="30">
        <v>4364.1525561809376</v>
      </c>
      <c r="M403" s="30">
        <v>3890.6203701326258</v>
      </c>
      <c r="N403" s="30">
        <v>2221.9942368755828</v>
      </c>
      <c r="O403" s="30">
        <v>39.832282156965448</v>
      </c>
      <c r="P403" s="30">
        <v>-1078.48918282873</v>
      </c>
      <c r="R403">
        <v>395</v>
      </c>
      <c r="S403" s="30">
        <v>267.74592411477641</v>
      </c>
      <c r="T403" s="30">
        <v>325.4590718069025</v>
      </c>
      <c r="U403" s="30">
        <v>150.46797796411147</v>
      </c>
      <c r="V403" s="30">
        <v>92.422544755672334</v>
      </c>
      <c r="W403" s="30">
        <v>46.410305241335209</v>
      </c>
      <c r="X403" s="30">
        <v>0</v>
      </c>
    </row>
    <row r="404" spans="10:24" x14ac:dyDescent="0.25">
      <c r="J404">
        <v>396</v>
      </c>
      <c r="K404" s="30">
        <v>2596.7615973245706</v>
      </c>
      <c r="L404" s="30">
        <v>2031.8345070092869</v>
      </c>
      <c r="M404" s="30">
        <v>2186.7680834703897</v>
      </c>
      <c r="N404" s="30">
        <v>1975.8355050583141</v>
      </c>
      <c r="O404" s="30">
        <v>332.57120726851736</v>
      </c>
      <c r="P404" s="30">
        <v>-479.380484210963</v>
      </c>
      <c r="R404">
        <v>396</v>
      </c>
      <c r="S404" s="30">
        <v>365.97670114063845</v>
      </c>
      <c r="T404" s="30">
        <v>400.76622698933102</v>
      </c>
      <c r="U404" s="30">
        <v>90.950216436774667</v>
      </c>
      <c r="V404" s="30">
        <v>72.350843938446587</v>
      </c>
      <c r="W404" s="30">
        <v>0</v>
      </c>
      <c r="X404" s="30">
        <v>0</v>
      </c>
    </row>
    <row r="405" spans="10:24" x14ac:dyDescent="0.25">
      <c r="J405">
        <v>397</v>
      </c>
      <c r="K405" s="30">
        <v>2743.3069656237067</v>
      </c>
      <c r="L405" s="30">
        <v>2791.5261456416702</v>
      </c>
      <c r="M405" s="30">
        <v>2317.3340232028509</v>
      </c>
      <c r="N405" s="30">
        <v>798.03775049364867</v>
      </c>
      <c r="O405" s="30">
        <v>2043.4105819298211</v>
      </c>
      <c r="P405" s="30">
        <v>1460.0016944554054</v>
      </c>
      <c r="R405">
        <v>397</v>
      </c>
      <c r="S405" s="30">
        <v>313.82745888815867</v>
      </c>
      <c r="T405" s="30">
        <v>260.84527786163034</v>
      </c>
      <c r="U405" s="30">
        <v>128.88125181494871</v>
      </c>
      <c r="V405" s="30">
        <v>0</v>
      </c>
      <c r="W405" s="30">
        <v>0</v>
      </c>
      <c r="X405" s="30">
        <v>0</v>
      </c>
    </row>
    <row r="406" spans="10:24" x14ac:dyDescent="0.25">
      <c r="J406">
        <v>398</v>
      </c>
      <c r="K406" s="30">
        <v>2328.9595989742647</v>
      </c>
      <c r="L406" s="30">
        <v>1890.6600605408189</v>
      </c>
      <c r="M406" s="30">
        <v>2241.3609228633691</v>
      </c>
      <c r="N406" s="30">
        <v>371.70491540445255</v>
      </c>
      <c r="O406" s="30">
        <v>2362.9686525870884</v>
      </c>
      <c r="P406" s="30">
        <v>-779.75832480936424</v>
      </c>
      <c r="R406">
        <v>398</v>
      </c>
      <c r="S406" s="30">
        <v>412.83923027800211</v>
      </c>
      <c r="T406" s="30">
        <v>260.17620398213177</v>
      </c>
      <c r="U406" s="30">
        <v>167.00636778621521</v>
      </c>
      <c r="V406" s="30">
        <v>55.351699807729574</v>
      </c>
      <c r="W406" s="30">
        <v>23.890310017610091</v>
      </c>
      <c r="X406" s="30">
        <v>0</v>
      </c>
    </row>
    <row r="407" spans="10:24" x14ac:dyDescent="0.25">
      <c r="J407">
        <v>399</v>
      </c>
      <c r="K407" s="30">
        <v>2481.3275191208068</v>
      </c>
      <c r="L407" s="30">
        <v>2888.1560425863709</v>
      </c>
      <c r="M407" s="30">
        <v>1837.4778731335409</v>
      </c>
      <c r="N407" s="30">
        <v>956.1303722126604</v>
      </c>
      <c r="O407" s="30">
        <v>1695.4385260674944</v>
      </c>
      <c r="P407" s="30">
        <v>-1049.6563922528794</v>
      </c>
      <c r="R407">
        <v>399</v>
      </c>
      <c r="S407" s="30">
        <v>190.85443470879176</v>
      </c>
      <c r="T407" s="30">
        <v>260.97386107045463</v>
      </c>
      <c r="U407" s="30">
        <v>34.818526536066656</v>
      </c>
      <c r="V407" s="30">
        <v>0</v>
      </c>
      <c r="W407" s="30">
        <v>0</v>
      </c>
      <c r="X407" s="30">
        <v>0</v>
      </c>
    </row>
    <row r="408" spans="10:24" x14ac:dyDescent="0.25">
      <c r="J408">
        <v>400</v>
      </c>
      <c r="K408" s="30">
        <v>3208.2983499549869</v>
      </c>
      <c r="L408" s="30">
        <v>1584.3470943971897</v>
      </c>
      <c r="M408" s="30">
        <v>2924.6079074515064</v>
      </c>
      <c r="N408" s="30">
        <v>271.80880214984427</v>
      </c>
      <c r="O408" s="30">
        <v>2291.8571133816968</v>
      </c>
      <c r="P408" s="30">
        <v>-1123.6397679275369</v>
      </c>
      <c r="R408">
        <v>400</v>
      </c>
      <c r="S408" s="30">
        <v>316.18950433176389</v>
      </c>
      <c r="T408" s="30">
        <v>364.73212645466293</v>
      </c>
      <c r="U408" s="30">
        <v>227.83590401000242</v>
      </c>
      <c r="V408" s="30">
        <v>0</v>
      </c>
      <c r="W408" s="30">
        <v>0</v>
      </c>
      <c r="X408" s="30">
        <v>0</v>
      </c>
    </row>
    <row r="409" spans="10:24" x14ac:dyDescent="0.25">
      <c r="J409">
        <v>401</v>
      </c>
      <c r="K409" s="30">
        <v>2079.3586118309272</v>
      </c>
      <c r="L409" s="30">
        <v>2302.072841154145</v>
      </c>
      <c r="M409" s="30">
        <v>3655.7400060589603</v>
      </c>
      <c r="N409" s="30">
        <v>-17.921808901826807</v>
      </c>
      <c r="O409" s="30">
        <v>1797.0893760671343</v>
      </c>
      <c r="P409" s="30">
        <v>675.39287795429846</v>
      </c>
      <c r="R409">
        <v>401</v>
      </c>
      <c r="S409" s="30">
        <v>304.07509440307388</v>
      </c>
      <c r="T409" s="30">
        <v>242.41497876594309</v>
      </c>
      <c r="U409" s="30">
        <v>207.36897754313344</v>
      </c>
      <c r="V409" s="30">
        <v>0</v>
      </c>
      <c r="W409" s="30">
        <v>0</v>
      </c>
      <c r="X409" s="30">
        <v>0</v>
      </c>
    </row>
    <row r="410" spans="10:24" x14ac:dyDescent="0.25">
      <c r="J410">
        <v>402</v>
      </c>
      <c r="K410" s="30">
        <v>3565.5617186575637</v>
      </c>
      <c r="L410" s="30">
        <v>4053.2240995945904</v>
      </c>
      <c r="M410" s="30">
        <v>1699.7417217719408</v>
      </c>
      <c r="N410" s="30">
        <v>-290.62389459415772</v>
      </c>
      <c r="O410" s="30">
        <v>2060.517348888925</v>
      </c>
      <c r="P410" s="30">
        <v>-2692.7821400633611</v>
      </c>
      <c r="R410">
        <v>402</v>
      </c>
      <c r="S410" s="30">
        <v>246.56240453172887</v>
      </c>
      <c r="T410" s="30">
        <v>374.3441438783172</v>
      </c>
      <c r="U410" s="30">
        <v>323.82086720435638</v>
      </c>
      <c r="V410" s="30">
        <v>24.275769774571359</v>
      </c>
      <c r="W410" s="30">
        <v>0</v>
      </c>
      <c r="X410" s="30">
        <v>0</v>
      </c>
    </row>
    <row r="411" spans="10:24" x14ac:dyDescent="0.25">
      <c r="J411">
        <v>403</v>
      </c>
      <c r="K411" s="30">
        <v>3793.3768887039068</v>
      </c>
      <c r="L411" s="30">
        <v>2833.4792763301648</v>
      </c>
      <c r="M411" s="30">
        <v>1644.3420261580904</v>
      </c>
      <c r="N411" s="30">
        <v>-758.06399066444192</v>
      </c>
      <c r="O411" s="30">
        <v>1111.7248149499192</v>
      </c>
      <c r="P411" s="30">
        <v>-2008.1136895617774</v>
      </c>
      <c r="R411">
        <v>403</v>
      </c>
      <c r="S411" s="30">
        <v>213.73005762309384</v>
      </c>
      <c r="T411" s="30">
        <v>282.36540375408975</v>
      </c>
      <c r="U411" s="30">
        <v>93.061262683323775</v>
      </c>
      <c r="V411" s="30">
        <v>170.2053554618081</v>
      </c>
      <c r="W411" s="30">
        <v>76.059134864738837</v>
      </c>
      <c r="X411" s="30">
        <v>25.523601608474166</v>
      </c>
    </row>
    <row r="412" spans="10:24" x14ac:dyDescent="0.25">
      <c r="J412">
        <v>404</v>
      </c>
      <c r="K412" s="30">
        <v>2493.6080282384992</v>
      </c>
      <c r="L412" s="30">
        <v>3011.2358074776525</v>
      </c>
      <c r="M412" s="30">
        <v>3389.9282604705327</v>
      </c>
      <c r="N412" s="30">
        <v>1652.0787481473617</v>
      </c>
      <c r="O412" s="30">
        <v>-84.698103249099404</v>
      </c>
      <c r="P412" s="30">
        <v>-344.78423257445775</v>
      </c>
      <c r="R412">
        <v>404</v>
      </c>
      <c r="S412" s="30">
        <v>232.9364093153734</v>
      </c>
      <c r="T412" s="30">
        <v>259.75717140307609</v>
      </c>
      <c r="U412" s="30">
        <v>318.20913404606443</v>
      </c>
      <c r="V412" s="30">
        <v>0</v>
      </c>
      <c r="W412" s="30">
        <v>0</v>
      </c>
      <c r="X412" s="30">
        <v>0</v>
      </c>
    </row>
    <row r="413" spans="10:24" x14ac:dyDescent="0.25">
      <c r="J413">
        <v>405</v>
      </c>
      <c r="K413" s="30">
        <v>3923.9011236804472</v>
      </c>
      <c r="L413" s="30">
        <v>3139.1955283846255</v>
      </c>
      <c r="M413" s="30">
        <v>2583.1933190896075</v>
      </c>
      <c r="N413" s="30">
        <v>2668.7125620999495</v>
      </c>
      <c r="O413" s="30">
        <v>910.24640190479931</v>
      </c>
      <c r="P413" s="30">
        <v>-1456.7372754893704</v>
      </c>
      <c r="R413">
        <v>405</v>
      </c>
      <c r="S413" s="30">
        <v>187.94088390163125</v>
      </c>
      <c r="T413" s="30">
        <v>318.32822510805323</v>
      </c>
      <c r="U413" s="30">
        <v>269.19694925111969</v>
      </c>
      <c r="V413" s="30">
        <v>0</v>
      </c>
      <c r="W413" s="30">
        <v>0</v>
      </c>
      <c r="X413" s="30">
        <v>0</v>
      </c>
    </row>
    <row r="414" spans="10:24" x14ac:dyDescent="0.25">
      <c r="J414">
        <v>406</v>
      </c>
      <c r="K414" s="30">
        <v>2281.7033971078631</v>
      </c>
      <c r="L414" s="30">
        <v>2625.2109779954972</v>
      </c>
      <c r="M414" s="30">
        <v>3903.346456972848</v>
      </c>
      <c r="N414" s="30">
        <v>-221.03275912741265</v>
      </c>
      <c r="O414" s="30">
        <v>895.38529699804258</v>
      </c>
      <c r="P414" s="30">
        <v>-28.522793707607889</v>
      </c>
      <c r="R414">
        <v>406</v>
      </c>
      <c r="S414" s="30">
        <v>218.22621864446421</v>
      </c>
      <c r="T414" s="30">
        <v>239.62451468770479</v>
      </c>
      <c r="U414" s="30">
        <v>272.62625433951297</v>
      </c>
      <c r="V414" s="30">
        <v>61.685105864974503</v>
      </c>
      <c r="W414" s="30">
        <v>0</v>
      </c>
      <c r="X414" s="30">
        <v>0</v>
      </c>
    </row>
    <row r="415" spans="10:24" x14ac:dyDescent="0.25">
      <c r="J415">
        <v>407</v>
      </c>
      <c r="K415" s="30">
        <v>3552.9333922957735</v>
      </c>
      <c r="L415" s="30">
        <v>2350.2240207285349</v>
      </c>
      <c r="M415" s="30">
        <v>3950.0310761790392</v>
      </c>
      <c r="N415" s="30">
        <v>43.137836252650231</v>
      </c>
      <c r="O415" s="30">
        <v>2099.3278248400202</v>
      </c>
      <c r="P415" s="30">
        <v>-1465.3133295016241</v>
      </c>
      <c r="R415">
        <v>407</v>
      </c>
      <c r="S415" s="30">
        <v>154.22103074158753</v>
      </c>
      <c r="T415" s="30">
        <v>321.23428738340192</v>
      </c>
      <c r="U415" s="30">
        <v>141.26029003231253</v>
      </c>
      <c r="V415" s="30">
        <v>0</v>
      </c>
      <c r="W415" s="30">
        <v>226.7879908662344</v>
      </c>
      <c r="X415" s="30">
        <v>0</v>
      </c>
    </row>
    <row r="416" spans="10:24" x14ac:dyDescent="0.25">
      <c r="J416">
        <v>408</v>
      </c>
      <c r="K416" s="30">
        <v>2119.0677997913126</v>
      </c>
      <c r="L416" s="30">
        <v>4133.8668644716772</v>
      </c>
      <c r="M416" s="30">
        <v>1208.1145454951538</v>
      </c>
      <c r="N416" s="30">
        <v>-1354.5255257147101</v>
      </c>
      <c r="O416" s="30">
        <v>1036.4013363999984</v>
      </c>
      <c r="P416" s="30">
        <v>1246.9055109374813</v>
      </c>
      <c r="R416">
        <v>408</v>
      </c>
      <c r="S416" s="30">
        <v>253.02130819482744</v>
      </c>
      <c r="T416" s="30">
        <v>302.0002600316414</v>
      </c>
      <c r="U416" s="30">
        <v>150.0464624953139</v>
      </c>
      <c r="V416" s="30">
        <v>91.784857815299119</v>
      </c>
      <c r="W416" s="30">
        <v>27.314854922311383</v>
      </c>
      <c r="X416" s="30">
        <v>0</v>
      </c>
    </row>
    <row r="417" spans="10:24" x14ac:dyDescent="0.25">
      <c r="J417">
        <v>409</v>
      </c>
      <c r="K417" s="30">
        <v>2058.1312186492241</v>
      </c>
      <c r="L417" s="30">
        <v>3358.3464320554062</v>
      </c>
      <c r="M417" s="30">
        <v>2316.3028757168049</v>
      </c>
      <c r="N417" s="30">
        <v>2147.5409285736032</v>
      </c>
      <c r="O417" s="30">
        <v>4042.0140162316557</v>
      </c>
      <c r="P417" s="30">
        <v>-929.2132379595032</v>
      </c>
      <c r="R417">
        <v>409</v>
      </c>
      <c r="S417" s="30">
        <v>328.90319399547764</v>
      </c>
      <c r="T417" s="30">
        <v>330.68584622909606</v>
      </c>
      <c r="U417" s="30">
        <v>6.0349522833366791</v>
      </c>
      <c r="V417" s="30">
        <v>52.822362752905974</v>
      </c>
      <c r="W417" s="30">
        <v>0</v>
      </c>
      <c r="X417" s="30">
        <v>0</v>
      </c>
    </row>
    <row r="418" spans="10:24" x14ac:dyDescent="0.25">
      <c r="J418">
        <v>410</v>
      </c>
      <c r="K418" s="30">
        <v>2559.0205143272365</v>
      </c>
      <c r="L418" s="30">
        <v>3082.18654259902</v>
      </c>
      <c r="M418" s="30">
        <v>2538.9197951190426</v>
      </c>
      <c r="N418" s="30">
        <v>61.807554623623219</v>
      </c>
      <c r="O418" s="30">
        <v>1095.0929853302996</v>
      </c>
      <c r="P418" s="30">
        <v>-742.76990620593097</v>
      </c>
      <c r="R418">
        <v>410</v>
      </c>
      <c r="S418" s="30">
        <v>211.78021998253723</v>
      </c>
      <c r="T418" s="30">
        <v>332.24232573737612</v>
      </c>
      <c r="U418" s="30">
        <v>222.54529963890718</v>
      </c>
      <c r="V418" s="30">
        <v>42.339800189507514</v>
      </c>
      <c r="W418" s="30">
        <v>0</v>
      </c>
      <c r="X418" s="30">
        <v>0</v>
      </c>
    </row>
    <row r="419" spans="10:24" x14ac:dyDescent="0.25">
      <c r="J419">
        <v>411</v>
      </c>
      <c r="K419" s="30">
        <v>2140.7019355367129</v>
      </c>
      <c r="L419" s="30">
        <v>3056.3578832614808</v>
      </c>
      <c r="M419" s="30">
        <v>1204.8967895549167</v>
      </c>
      <c r="N419" s="30">
        <v>-380.85604960184082</v>
      </c>
      <c r="O419" s="30">
        <v>673.72221928242561</v>
      </c>
      <c r="P419" s="30">
        <v>1630.1507260819799</v>
      </c>
      <c r="R419">
        <v>411</v>
      </c>
      <c r="S419" s="30">
        <v>220.07469776735007</v>
      </c>
      <c r="T419" s="30">
        <v>243.95717963172905</v>
      </c>
      <c r="U419" s="30">
        <v>55.714666887427995</v>
      </c>
      <c r="V419" s="30">
        <v>18.033310304722818</v>
      </c>
      <c r="W419" s="30">
        <v>0</v>
      </c>
      <c r="X419" s="30">
        <v>0</v>
      </c>
    </row>
    <row r="420" spans="10:24" x14ac:dyDescent="0.25">
      <c r="J420">
        <v>412</v>
      </c>
      <c r="K420" s="30">
        <v>4302.7831331005755</v>
      </c>
      <c r="L420" s="30">
        <v>2150.1399297243215</v>
      </c>
      <c r="M420" s="30">
        <v>3269.3137563557038</v>
      </c>
      <c r="N420" s="30">
        <v>-225.96987425798397</v>
      </c>
      <c r="O420" s="30">
        <v>1196.3162445480084</v>
      </c>
      <c r="P420" s="30">
        <v>-250.26660082690796</v>
      </c>
      <c r="R420">
        <v>412</v>
      </c>
      <c r="S420" s="30">
        <v>172.30312728251596</v>
      </c>
      <c r="T420" s="30">
        <v>225.07744657139762</v>
      </c>
      <c r="U420" s="30">
        <v>85.487600112584403</v>
      </c>
      <c r="V420" s="30">
        <v>0</v>
      </c>
      <c r="W420" s="30">
        <v>0</v>
      </c>
      <c r="X420" s="30">
        <v>0</v>
      </c>
    </row>
    <row r="421" spans="10:24" x14ac:dyDescent="0.25">
      <c r="J421">
        <v>413</v>
      </c>
      <c r="K421" s="30">
        <v>3195.5781676248334</v>
      </c>
      <c r="L421" s="30">
        <v>2892.0137561222723</v>
      </c>
      <c r="M421" s="30">
        <v>3460.7274959447459</v>
      </c>
      <c r="N421" s="30">
        <v>1611.8502906297454</v>
      </c>
      <c r="O421" s="30">
        <v>1182.6503695054234</v>
      </c>
      <c r="P421" s="30">
        <v>-2022.0310120422992</v>
      </c>
      <c r="R421">
        <v>413</v>
      </c>
      <c r="S421" s="30">
        <v>155.57416735886443</v>
      </c>
      <c r="T421" s="30">
        <v>365.35041575154861</v>
      </c>
      <c r="U421" s="30">
        <v>64.553850281766358</v>
      </c>
      <c r="V421" s="30">
        <v>0</v>
      </c>
      <c r="W421" s="30">
        <v>86.044815174828841</v>
      </c>
      <c r="X421" s="30">
        <v>0</v>
      </c>
    </row>
    <row r="422" spans="10:24" x14ac:dyDescent="0.25">
      <c r="J422">
        <v>414</v>
      </c>
      <c r="K422" s="30">
        <v>1866.9922555282037</v>
      </c>
      <c r="L422" s="30">
        <v>3199.1321952215112</v>
      </c>
      <c r="M422" s="30">
        <v>2007.46384333891</v>
      </c>
      <c r="N422" s="30">
        <v>559.30333352529033</v>
      </c>
      <c r="O422" s="30">
        <v>1175.6207875225355</v>
      </c>
      <c r="P422" s="30">
        <v>-70.366134665695427</v>
      </c>
      <c r="R422">
        <v>414</v>
      </c>
      <c r="S422" s="30">
        <v>313.93270827677225</v>
      </c>
      <c r="T422" s="30">
        <v>287.40220108280323</v>
      </c>
      <c r="U422" s="30">
        <v>114.72448010079694</v>
      </c>
      <c r="V422" s="30">
        <v>0</v>
      </c>
      <c r="W422" s="30">
        <v>69.624007301360166</v>
      </c>
      <c r="X422" s="30">
        <v>0</v>
      </c>
    </row>
    <row r="423" spans="10:24" x14ac:dyDescent="0.25">
      <c r="J423">
        <v>415</v>
      </c>
      <c r="K423" s="30">
        <v>2320.9420952527162</v>
      </c>
      <c r="L423" s="30">
        <v>3028.3255506656287</v>
      </c>
      <c r="M423" s="30">
        <v>2421.8591805136366</v>
      </c>
      <c r="N423" s="30">
        <v>-478.00275752268954</v>
      </c>
      <c r="O423" s="30">
        <v>1135.8841233099665</v>
      </c>
      <c r="P423" s="30">
        <v>-1720.2324304899093</v>
      </c>
      <c r="R423">
        <v>415</v>
      </c>
      <c r="S423" s="30">
        <v>243.59003192739897</v>
      </c>
      <c r="T423" s="30">
        <v>322.32333598060723</v>
      </c>
      <c r="U423" s="30">
        <v>229.80498506694551</v>
      </c>
      <c r="V423" s="30">
        <v>0</v>
      </c>
      <c r="W423" s="30">
        <v>52.768654199931348</v>
      </c>
      <c r="X423" s="30">
        <v>0</v>
      </c>
    </row>
    <row r="424" spans="10:24" x14ac:dyDescent="0.25">
      <c r="J424">
        <v>416</v>
      </c>
      <c r="K424" s="30">
        <v>2865.3760913721007</v>
      </c>
      <c r="L424" s="30">
        <v>2616.4040187298929</v>
      </c>
      <c r="M424" s="30">
        <v>1561.7085067365233</v>
      </c>
      <c r="N424" s="30">
        <v>199.633923107388</v>
      </c>
      <c r="O424" s="30">
        <v>2555.8670709510116</v>
      </c>
      <c r="P424" s="30">
        <v>-326.97453864526142</v>
      </c>
      <c r="R424">
        <v>416</v>
      </c>
      <c r="S424" s="30">
        <v>198.55385202867762</v>
      </c>
      <c r="T424" s="30">
        <v>323.11443079829178</v>
      </c>
      <c r="U424" s="30">
        <v>147.5606782040395</v>
      </c>
      <c r="V424" s="30">
        <v>0</v>
      </c>
      <c r="W424" s="30">
        <v>2.3532226747253162</v>
      </c>
      <c r="X424" s="30">
        <v>0</v>
      </c>
    </row>
    <row r="425" spans="10:24" x14ac:dyDescent="0.25">
      <c r="J425">
        <v>417</v>
      </c>
      <c r="K425" s="30">
        <v>2524.3225818689143</v>
      </c>
      <c r="L425" s="30">
        <v>3041.4577695979906</v>
      </c>
      <c r="M425" s="30">
        <v>2253.6941197245405</v>
      </c>
      <c r="N425" s="30">
        <v>799.80128677386347</v>
      </c>
      <c r="O425" s="30">
        <v>1770.1660627312167</v>
      </c>
      <c r="P425" s="30">
        <v>-659.58864328974778</v>
      </c>
      <c r="R425">
        <v>417</v>
      </c>
      <c r="S425" s="30">
        <v>307.27186150968333</v>
      </c>
      <c r="T425" s="30">
        <v>304.01755552156897</v>
      </c>
      <c r="U425" s="30">
        <v>120.07350500718309</v>
      </c>
      <c r="V425" s="30">
        <v>0</v>
      </c>
      <c r="W425" s="30">
        <v>82.495767219527465</v>
      </c>
      <c r="X425" s="30">
        <v>0</v>
      </c>
    </row>
    <row r="426" spans="10:24" x14ac:dyDescent="0.25">
      <c r="J426">
        <v>418</v>
      </c>
      <c r="K426" s="30">
        <v>2890.5638263404403</v>
      </c>
      <c r="L426" s="30">
        <v>2551.1415064514858</v>
      </c>
      <c r="M426" s="30">
        <v>2607.7684788370952</v>
      </c>
      <c r="N426" s="30">
        <v>2097.2760172701946</v>
      </c>
      <c r="O426" s="30">
        <v>2531.4676937126424</v>
      </c>
      <c r="P426" s="30">
        <v>-1709.0155113295104</v>
      </c>
      <c r="R426">
        <v>418</v>
      </c>
      <c r="S426" s="30">
        <v>243.41870247563901</v>
      </c>
      <c r="T426" s="30">
        <v>253.00670314300726</v>
      </c>
      <c r="U426" s="30">
        <v>78.358567256887056</v>
      </c>
      <c r="V426" s="30">
        <v>0</v>
      </c>
      <c r="W426" s="30">
        <v>0</v>
      </c>
      <c r="X426" s="30">
        <v>0</v>
      </c>
    </row>
    <row r="427" spans="10:24" x14ac:dyDescent="0.25">
      <c r="J427">
        <v>419</v>
      </c>
      <c r="K427" s="30">
        <v>4331.0719196918908</v>
      </c>
      <c r="L427" s="30">
        <v>4213.5484403560813</v>
      </c>
      <c r="M427" s="30">
        <v>1854.4873170543915</v>
      </c>
      <c r="N427" s="30">
        <v>-408.73509313387785</v>
      </c>
      <c r="O427" s="30">
        <v>1463.5574576233321</v>
      </c>
      <c r="P427" s="30">
        <v>145.19147044636702</v>
      </c>
      <c r="R427">
        <v>419</v>
      </c>
      <c r="S427" s="30">
        <v>313.19863073645917</v>
      </c>
      <c r="T427" s="30">
        <v>294.60283208769488</v>
      </c>
      <c r="U427" s="30">
        <v>216.38502529551539</v>
      </c>
      <c r="V427" s="30">
        <v>0</v>
      </c>
      <c r="W427" s="30">
        <v>0</v>
      </c>
      <c r="X427" s="30">
        <v>0</v>
      </c>
    </row>
    <row r="428" spans="10:24" x14ac:dyDescent="0.25">
      <c r="J428">
        <v>420</v>
      </c>
      <c r="K428" s="30">
        <v>2366.7769369895827</v>
      </c>
      <c r="L428" s="30">
        <v>2855.9731354790474</v>
      </c>
      <c r="M428" s="30">
        <v>1877.9842610842479</v>
      </c>
      <c r="N428" s="30">
        <v>1429.745222123247</v>
      </c>
      <c r="O428" s="30">
        <v>2869.7657393045192</v>
      </c>
      <c r="P428" s="30">
        <v>-1321.5860288186941</v>
      </c>
      <c r="R428">
        <v>420</v>
      </c>
      <c r="S428" s="30">
        <v>215.97154777698648</v>
      </c>
      <c r="T428" s="30">
        <v>337.56419155726701</v>
      </c>
      <c r="U428" s="30">
        <v>148.023523230904</v>
      </c>
      <c r="V428" s="30">
        <v>0</v>
      </c>
      <c r="W428" s="30">
        <v>0</v>
      </c>
      <c r="X428" s="30">
        <v>0</v>
      </c>
    </row>
    <row r="429" spans="10:24" x14ac:dyDescent="0.25">
      <c r="J429">
        <v>421</v>
      </c>
      <c r="K429" s="30">
        <v>2890.7791580125286</v>
      </c>
      <c r="L429" s="30">
        <v>2913.2655378573836</v>
      </c>
      <c r="M429" s="30">
        <v>2408.4428562883518</v>
      </c>
      <c r="N429" s="30">
        <v>2635.330215138888</v>
      </c>
      <c r="O429" s="30">
        <v>2293.7735575093329</v>
      </c>
      <c r="P429" s="30">
        <v>-1108.4390915061058</v>
      </c>
      <c r="R429">
        <v>421</v>
      </c>
      <c r="S429" s="30">
        <v>295.11965841266908</v>
      </c>
      <c r="T429" s="30">
        <v>361.17929551146437</v>
      </c>
      <c r="U429" s="30">
        <v>336.40905888914745</v>
      </c>
      <c r="V429" s="30">
        <v>0</v>
      </c>
      <c r="W429" s="30">
        <v>0</v>
      </c>
      <c r="X429" s="30">
        <v>0</v>
      </c>
    </row>
    <row r="430" spans="10:24" x14ac:dyDescent="0.25">
      <c r="J430">
        <v>422</v>
      </c>
      <c r="K430" s="30">
        <v>3033.932792067063</v>
      </c>
      <c r="L430" s="30">
        <v>2387.9254086795522</v>
      </c>
      <c r="M430" s="30">
        <v>2085.0504741967761</v>
      </c>
      <c r="N430" s="30">
        <v>-3644.0827513509385</v>
      </c>
      <c r="O430" s="30">
        <v>76.573919651594224</v>
      </c>
      <c r="P430" s="30">
        <v>-2080.7056919685774</v>
      </c>
      <c r="R430">
        <v>422</v>
      </c>
      <c r="S430" s="30">
        <v>253.69004373208361</v>
      </c>
      <c r="T430" s="30">
        <v>220.58963797385189</v>
      </c>
      <c r="U430" s="30">
        <v>179.15735856400829</v>
      </c>
      <c r="V430" s="30">
        <v>0</v>
      </c>
      <c r="W430" s="30">
        <v>0</v>
      </c>
      <c r="X430" s="30">
        <v>0</v>
      </c>
    </row>
    <row r="431" spans="10:24" x14ac:dyDescent="0.25">
      <c r="J431">
        <v>423</v>
      </c>
      <c r="K431" s="30">
        <v>3657.6863903705967</v>
      </c>
      <c r="L431" s="30">
        <v>2571.3729285296513</v>
      </c>
      <c r="M431" s="30">
        <v>3607.0410411593639</v>
      </c>
      <c r="N431" s="30">
        <v>682.59197384441541</v>
      </c>
      <c r="O431" s="30">
        <v>1640.6158997937664</v>
      </c>
      <c r="P431" s="30">
        <v>-1691.1199646819505</v>
      </c>
      <c r="R431">
        <v>423</v>
      </c>
      <c r="S431" s="30">
        <v>182.0305646636856</v>
      </c>
      <c r="T431" s="30">
        <v>352.56997576553402</v>
      </c>
      <c r="U431" s="30">
        <v>167.00857238207362</v>
      </c>
      <c r="V431" s="30">
        <v>0</v>
      </c>
      <c r="W431" s="30">
        <v>1.106043845262775</v>
      </c>
      <c r="X431" s="30">
        <v>0</v>
      </c>
    </row>
    <row r="432" spans="10:24" x14ac:dyDescent="0.25">
      <c r="J432">
        <v>424</v>
      </c>
      <c r="K432" s="30">
        <v>1935.3743315136244</v>
      </c>
      <c r="L432" s="30">
        <v>3611.134908693432</v>
      </c>
      <c r="M432" s="30">
        <v>1018.4176562719686</v>
      </c>
      <c r="N432" s="30">
        <v>-1918.5660641597042</v>
      </c>
      <c r="O432" s="30">
        <v>200.50355134114125</v>
      </c>
      <c r="P432" s="30">
        <v>-886.89006719147528</v>
      </c>
      <c r="R432">
        <v>424</v>
      </c>
      <c r="S432" s="30">
        <v>258.48614466596467</v>
      </c>
      <c r="T432" s="30">
        <v>416.98185559258565</v>
      </c>
      <c r="U432" s="30">
        <v>161.50436872195507</v>
      </c>
      <c r="V432" s="30">
        <v>0</v>
      </c>
      <c r="W432" s="30">
        <v>0</v>
      </c>
      <c r="X432" s="30">
        <v>0</v>
      </c>
    </row>
    <row r="433" spans="10:24" x14ac:dyDescent="0.25">
      <c r="J433">
        <v>425</v>
      </c>
      <c r="K433" s="30">
        <v>3795.7884212940203</v>
      </c>
      <c r="L433" s="30">
        <v>3370.4868200668634</v>
      </c>
      <c r="M433" s="30">
        <v>1145.8996092783736</v>
      </c>
      <c r="N433" s="30">
        <v>1498.1264272046128</v>
      </c>
      <c r="O433" s="30">
        <v>575.30331348693289</v>
      </c>
      <c r="P433" s="30">
        <v>-719.40886237197992</v>
      </c>
      <c r="R433">
        <v>425</v>
      </c>
      <c r="S433" s="30">
        <v>261.72001494420482</v>
      </c>
      <c r="T433" s="30">
        <v>228.89535035413411</v>
      </c>
      <c r="U433" s="30">
        <v>130.01345899732689</v>
      </c>
      <c r="V433" s="30">
        <v>0</v>
      </c>
      <c r="W433" s="30">
        <v>144.30703743734836</v>
      </c>
      <c r="X433" s="30">
        <v>0</v>
      </c>
    </row>
    <row r="434" spans="10:24" x14ac:dyDescent="0.25">
      <c r="J434">
        <v>426</v>
      </c>
      <c r="K434" s="30">
        <v>2470.7833834077273</v>
      </c>
      <c r="L434" s="30">
        <v>2538.0882741550809</v>
      </c>
      <c r="M434" s="30">
        <v>2633.4764857509495</v>
      </c>
      <c r="N434" s="30">
        <v>-861.19776148109213</v>
      </c>
      <c r="O434" s="30">
        <v>1015.1376748207831</v>
      </c>
      <c r="P434" s="30">
        <v>1439.1402559644357</v>
      </c>
      <c r="R434">
        <v>426</v>
      </c>
      <c r="S434" s="30">
        <v>375.87523773056193</v>
      </c>
      <c r="T434" s="30">
        <v>283.0993061055529</v>
      </c>
      <c r="U434" s="30">
        <v>137.47466640671212</v>
      </c>
      <c r="V434" s="30">
        <v>0</v>
      </c>
      <c r="W434" s="30">
        <v>104.31301682052333</v>
      </c>
      <c r="X434" s="30">
        <v>0</v>
      </c>
    </row>
    <row r="435" spans="10:24" x14ac:dyDescent="0.25">
      <c r="J435">
        <v>427</v>
      </c>
      <c r="K435" s="30">
        <v>2096.1625181925742</v>
      </c>
      <c r="L435" s="30">
        <v>2220.2923436026445</v>
      </c>
      <c r="M435" s="30">
        <v>2185.1894431991955</v>
      </c>
      <c r="N435" s="30">
        <v>767.40883600330108</v>
      </c>
      <c r="O435" s="30">
        <v>489.89807785458834</v>
      </c>
      <c r="P435" s="30">
        <v>-576.43573806116365</v>
      </c>
      <c r="R435">
        <v>427</v>
      </c>
      <c r="S435" s="30">
        <v>330.99952260107455</v>
      </c>
      <c r="T435" s="30">
        <v>300.16581038385385</v>
      </c>
      <c r="U435" s="30">
        <v>177.40868829221347</v>
      </c>
      <c r="V435" s="30">
        <v>0</v>
      </c>
      <c r="W435" s="30">
        <v>0</v>
      </c>
      <c r="X435" s="30">
        <v>0</v>
      </c>
    </row>
    <row r="436" spans="10:24" x14ac:dyDescent="0.25">
      <c r="J436">
        <v>428</v>
      </c>
      <c r="K436" s="30">
        <v>3052.3085419540994</v>
      </c>
      <c r="L436" s="30">
        <v>3762.4152981678412</v>
      </c>
      <c r="M436" s="30">
        <v>2517.9665612754229</v>
      </c>
      <c r="N436" s="30">
        <v>-1423.3999192664951</v>
      </c>
      <c r="O436" s="30">
        <v>1657.2680377506249</v>
      </c>
      <c r="P436" s="30">
        <v>-977.97077002808965</v>
      </c>
      <c r="R436">
        <v>428</v>
      </c>
      <c r="S436" s="30">
        <v>210.37502867899047</v>
      </c>
      <c r="T436" s="30">
        <v>274.84269472865225</v>
      </c>
      <c r="U436" s="30">
        <v>268.98674353670538</v>
      </c>
      <c r="V436" s="30">
        <v>0</v>
      </c>
      <c r="W436" s="30">
        <v>25.72451477581626</v>
      </c>
      <c r="X436" s="30">
        <v>0</v>
      </c>
    </row>
    <row r="437" spans="10:24" x14ac:dyDescent="0.25">
      <c r="J437">
        <v>429</v>
      </c>
      <c r="K437" s="30">
        <v>2329.8519467855804</v>
      </c>
      <c r="L437" s="30">
        <v>2297.6067142538</v>
      </c>
      <c r="M437" s="30">
        <v>1795.9394544664788</v>
      </c>
      <c r="N437" s="30">
        <v>75.509777319787645</v>
      </c>
      <c r="O437" s="30">
        <v>1712.7224864810942</v>
      </c>
      <c r="P437" s="30">
        <v>-461.36642463217049</v>
      </c>
      <c r="R437">
        <v>429</v>
      </c>
      <c r="S437" s="30">
        <v>192.43508831556113</v>
      </c>
      <c r="T437" s="30">
        <v>390.19062008537611</v>
      </c>
      <c r="U437" s="30">
        <v>109.9420915313213</v>
      </c>
      <c r="V437" s="30">
        <v>70.046131999086697</v>
      </c>
      <c r="W437" s="30">
        <v>0</v>
      </c>
      <c r="X437" s="30">
        <v>0</v>
      </c>
    </row>
    <row r="438" spans="10:24" x14ac:dyDescent="0.25">
      <c r="J438">
        <v>430</v>
      </c>
      <c r="K438" s="30">
        <v>3791.5785821990457</v>
      </c>
      <c r="L438" s="30">
        <v>4187.9833194110333</v>
      </c>
      <c r="M438" s="30">
        <v>3627.8675133470556</v>
      </c>
      <c r="N438" s="30">
        <v>-971.60360249345467</v>
      </c>
      <c r="O438" s="30">
        <v>-108.02049688690022</v>
      </c>
      <c r="P438" s="30">
        <v>-1400.6637192378057</v>
      </c>
      <c r="R438">
        <v>430</v>
      </c>
      <c r="S438" s="30">
        <v>321.29288478195946</v>
      </c>
      <c r="T438" s="30">
        <v>322.90090821787066</v>
      </c>
      <c r="U438" s="30">
        <v>99.083617824893963</v>
      </c>
      <c r="V438" s="30">
        <v>0</v>
      </c>
      <c r="W438" s="30">
        <v>0</v>
      </c>
      <c r="X438" s="30">
        <v>0</v>
      </c>
    </row>
    <row r="439" spans="10:24" x14ac:dyDescent="0.25">
      <c r="J439">
        <v>431</v>
      </c>
      <c r="K439" s="30">
        <v>3789.264333179005</v>
      </c>
      <c r="L439" s="30">
        <v>2486.0610283378342</v>
      </c>
      <c r="M439" s="30">
        <v>2409.5738077537221</v>
      </c>
      <c r="N439" s="30">
        <v>1953.2302456375255</v>
      </c>
      <c r="O439" s="30">
        <v>466.99861958992369</v>
      </c>
      <c r="P439" s="30">
        <v>-1613.0570787191982</v>
      </c>
      <c r="R439">
        <v>431</v>
      </c>
      <c r="S439" s="30">
        <v>230.60292356798101</v>
      </c>
      <c r="T439" s="30">
        <v>263.51428528265791</v>
      </c>
      <c r="U439" s="30">
        <v>126.33300978689925</v>
      </c>
      <c r="V439" s="30">
        <v>20.160474227382906</v>
      </c>
      <c r="W439" s="30">
        <v>90.566401339146921</v>
      </c>
      <c r="X439" s="30">
        <v>0</v>
      </c>
    </row>
    <row r="440" spans="10:24" x14ac:dyDescent="0.25">
      <c r="J440">
        <v>432</v>
      </c>
      <c r="K440" s="30">
        <v>2642.6089088213798</v>
      </c>
      <c r="L440" s="30">
        <v>4279.8099378974457</v>
      </c>
      <c r="M440" s="30">
        <v>2469.8599927962709</v>
      </c>
      <c r="N440" s="30">
        <v>-526.83206858988888</v>
      </c>
      <c r="O440" s="30">
        <v>513.94611282442474</v>
      </c>
      <c r="P440" s="30">
        <v>-1700.6168034966495</v>
      </c>
      <c r="R440">
        <v>432</v>
      </c>
      <c r="S440" s="30">
        <v>359.11360635945147</v>
      </c>
      <c r="T440" s="30">
        <v>305.58086210797791</v>
      </c>
      <c r="U440" s="30">
        <v>177.400969626098</v>
      </c>
      <c r="V440" s="30">
        <v>0</v>
      </c>
      <c r="W440" s="30">
        <v>6.773725248034566</v>
      </c>
      <c r="X440" s="30">
        <v>0</v>
      </c>
    </row>
    <row r="441" spans="10:24" x14ac:dyDescent="0.25">
      <c r="J441">
        <v>433</v>
      </c>
      <c r="K441" s="30">
        <v>3838.8371367235222</v>
      </c>
      <c r="L441" s="30">
        <v>4238.6168360756055</v>
      </c>
      <c r="M441" s="30">
        <v>3489.2824039834213</v>
      </c>
      <c r="N441" s="30">
        <v>2835.8177689246568</v>
      </c>
      <c r="O441" s="30">
        <v>1346.4995260607639</v>
      </c>
      <c r="P441" s="30">
        <v>-174.57270671865899</v>
      </c>
      <c r="R441">
        <v>433</v>
      </c>
      <c r="S441" s="30">
        <v>167.39788692398264</v>
      </c>
      <c r="T441" s="30">
        <v>290.35044548808037</v>
      </c>
      <c r="U441" s="30">
        <v>170.39733346567834</v>
      </c>
      <c r="V441" s="30">
        <v>113.29201684370207</v>
      </c>
      <c r="W441" s="30">
        <v>0</v>
      </c>
      <c r="X441" s="30">
        <v>0</v>
      </c>
    </row>
    <row r="442" spans="10:24" x14ac:dyDescent="0.25">
      <c r="J442">
        <v>434</v>
      </c>
      <c r="K442" s="30">
        <v>4249.5310674849798</v>
      </c>
      <c r="L442" s="30">
        <v>2262.6465618060556</v>
      </c>
      <c r="M442" s="30">
        <v>2844.2658162078105</v>
      </c>
      <c r="N442" s="30">
        <v>1522.6021621475729</v>
      </c>
      <c r="O442" s="30">
        <v>2115.2808540899059</v>
      </c>
      <c r="P442" s="30">
        <v>-1478.6406524710465</v>
      </c>
      <c r="R442">
        <v>434</v>
      </c>
      <c r="S442" s="30">
        <v>228.67160626414204</v>
      </c>
      <c r="T442" s="30">
        <v>263.93223571849956</v>
      </c>
      <c r="U442" s="30">
        <v>204.54268513956367</v>
      </c>
      <c r="V442" s="30">
        <v>79.464899516720266</v>
      </c>
      <c r="W442" s="30">
        <v>103.57113343960032</v>
      </c>
      <c r="X442" s="30">
        <v>0</v>
      </c>
    </row>
    <row r="443" spans="10:24" x14ac:dyDescent="0.25">
      <c r="J443">
        <v>435</v>
      </c>
      <c r="K443" s="30">
        <v>2591.9649022569074</v>
      </c>
      <c r="L443" s="30">
        <v>2667.8727840511383</v>
      </c>
      <c r="M443" s="30">
        <v>3768.6098236301214</v>
      </c>
      <c r="N443" s="30">
        <v>1944.1066751532335</v>
      </c>
      <c r="O443" s="30">
        <v>756.6509841015386</v>
      </c>
      <c r="P443" s="30">
        <v>-438.75810559630463</v>
      </c>
      <c r="R443">
        <v>435</v>
      </c>
      <c r="S443" s="30">
        <v>205.42065836164949</v>
      </c>
      <c r="T443" s="30">
        <v>269.23675563371</v>
      </c>
      <c r="U443" s="30">
        <v>110.33157148163048</v>
      </c>
      <c r="V443" s="30">
        <v>0</v>
      </c>
      <c r="W443" s="30">
        <v>0</v>
      </c>
      <c r="X443" s="30">
        <v>0</v>
      </c>
    </row>
    <row r="444" spans="10:24" x14ac:dyDescent="0.25">
      <c r="J444">
        <v>436</v>
      </c>
      <c r="K444" s="30">
        <v>3280.1959174266549</v>
      </c>
      <c r="L444" s="30">
        <v>1802.1036647543897</v>
      </c>
      <c r="M444" s="30">
        <v>2031.3552813057704</v>
      </c>
      <c r="N444" s="30">
        <v>1018.5250326849737</v>
      </c>
      <c r="O444" s="30">
        <v>2058.0283008627766</v>
      </c>
      <c r="P444" s="30">
        <v>-992.37261511874931</v>
      </c>
      <c r="R444">
        <v>436</v>
      </c>
      <c r="S444" s="30">
        <v>195.12974640845567</v>
      </c>
      <c r="T444" s="30">
        <v>318.86469772883817</v>
      </c>
      <c r="U444" s="30">
        <v>119.90409580575903</v>
      </c>
      <c r="V444" s="30">
        <v>0</v>
      </c>
      <c r="W444" s="30">
        <v>0</v>
      </c>
      <c r="X444" s="30">
        <v>0</v>
      </c>
    </row>
    <row r="445" spans="10:24" x14ac:dyDescent="0.25">
      <c r="J445">
        <v>437</v>
      </c>
      <c r="K445" s="30">
        <v>4288.4471890182504</v>
      </c>
      <c r="L445" s="30">
        <v>2901.5517479850873</v>
      </c>
      <c r="M445" s="30">
        <v>3441.3749391173515</v>
      </c>
      <c r="N445" s="30">
        <v>1308.0790884095632</v>
      </c>
      <c r="O445" s="30">
        <v>915.76938521892953</v>
      </c>
      <c r="P445" s="30">
        <v>2079.143150426853</v>
      </c>
      <c r="R445">
        <v>437</v>
      </c>
      <c r="S445" s="30">
        <v>289.60937837652313</v>
      </c>
      <c r="T445" s="30">
        <v>315.14437877797928</v>
      </c>
      <c r="U445" s="30">
        <v>105.15651778771456</v>
      </c>
      <c r="V445" s="30">
        <v>108.22506701410498</v>
      </c>
      <c r="W445" s="30">
        <v>0</v>
      </c>
      <c r="X445" s="30">
        <v>0</v>
      </c>
    </row>
    <row r="446" spans="10:24" x14ac:dyDescent="0.25">
      <c r="J446">
        <v>438</v>
      </c>
      <c r="K446" s="30">
        <v>2573.5435590013908</v>
      </c>
      <c r="L446" s="30">
        <v>2256.130547396463</v>
      </c>
      <c r="M446" s="30">
        <v>3688.7081726030301</v>
      </c>
      <c r="N446" s="30">
        <v>-2506.3198511617138</v>
      </c>
      <c r="O446" s="30">
        <v>-706.00079674301196</v>
      </c>
      <c r="P446" s="30">
        <v>-3326.3969826165603</v>
      </c>
      <c r="R446">
        <v>438</v>
      </c>
      <c r="S446" s="30">
        <v>170.53094389104672</v>
      </c>
      <c r="T446" s="30">
        <v>272.20262229683095</v>
      </c>
      <c r="U446" s="30">
        <v>136.32671142348647</v>
      </c>
      <c r="V446" s="30">
        <v>0</v>
      </c>
      <c r="W446" s="30">
        <v>165.58417739359254</v>
      </c>
      <c r="X446" s="30">
        <v>0</v>
      </c>
    </row>
    <row r="447" spans="10:24" x14ac:dyDescent="0.25">
      <c r="J447">
        <v>439</v>
      </c>
      <c r="K447" s="30">
        <v>2126.2013149440431</v>
      </c>
      <c r="L447" s="30">
        <v>4205.3518110517252</v>
      </c>
      <c r="M447" s="30">
        <v>2682.8039262874709</v>
      </c>
      <c r="N447" s="30">
        <v>-1939.2000487779642</v>
      </c>
      <c r="O447" s="30">
        <v>3.1203232253556052</v>
      </c>
      <c r="P447" s="30">
        <v>-40.661815784277678</v>
      </c>
      <c r="R447">
        <v>439</v>
      </c>
      <c r="S447" s="30">
        <v>285.10171385590701</v>
      </c>
      <c r="T447" s="30">
        <v>385.48601714891873</v>
      </c>
      <c r="U447" s="30">
        <v>333.64246581222085</v>
      </c>
      <c r="V447" s="30">
        <v>0</v>
      </c>
      <c r="W447" s="30">
        <v>0</v>
      </c>
      <c r="X447" s="30">
        <v>0</v>
      </c>
    </row>
    <row r="448" spans="10:24" x14ac:dyDescent="0.25">
      <c r="J448">
        <v>440</v>
      </c>
      <c r="K448" s="30">
        <v>3780.8332750001482</v>
      </c>
      <c r="L448" s="30">
        <v>2160.4303139253707</v>
      </c>
      <c r="M448" s="30">
        <v>3696.4775387919444</v>
      </c>
      <c r="N448" s="30">
        <v>523.39767373924769</v>
      </c>
      <c r="O448" s="30">
        <v>1600.2403428081361</v>
      </c>
      <c r="P448" s="30">
        <v>-2027.323227951144</v>
      </c>
      <c r="R448">
        <v>440</v>
      </c>
      <c r="S448" s="30">
        <v>244.87839730572057</v>
      </c>
      <c r="T448" s="30">
        <v>197.04211742281836</v>
      </c>
      <c r="U448" s="30">
        <v>182.88526495072318</v>
      </c>
      <c r="V448" s="30">
        <v>30.40050082822097</v>
      </c>
      <c r="W448" s="30">
        <v>128.02592678736551</v>
      </c>
      <c r="X448" s="30">
        <v>0</v>
      </c>
    </row>
    <row r="449" spans="10:24" x14ac:dyDescent="0.25">
      <c r="J449">
        <v>441</v>
      </c>
      <c r="K449" s="30">
        <v>2471.6658926139753</v>
      </c>
      <c r="L449" s="30">
        <v>3612.6475765825126</v>
      </c>
      <c r="M449" s="30">
        <v>2729.032321146673</v>
      </c>
      <c r="N449" s="30">
        <v>-1945.7403761800333</v>
      </c>
      <c r="O449" s="30">
        <v>1058.9020936491806</v>
      </c>
      <c r="P449" s="30">
        <v>-1327.0095661690711</v>
      </c>
      <c r="R449">
        <v>441</v>
      </c>
      <c r="S449" s="30">
        <v>256.43969099210454</v>
      </c>
      <c r="T449" s="30">
        <v>179.27619030668461</v>
      </c>
      <c r="U449" s="30">
        <v>68.477042016507255</v>
      </c>
      <c r="V449" s="30">
        <v>0</v>
      </c>
      <c r="W449" s="30">
        <v>0</v>
      </c>
      <c r="X449" s="30">
        <v>0</v>
      </c>
    </row>
    <row r="450" spans="10:24" x14ac:dyDescent="0.25">
      <c r="J450">
        <v>442</v>
      </c>
      <c r="K450" s="30">
        <v>4322.7674533052923</v>
      </c>
      <c r="L450" s="30">
        <v>4202.200072029761</v>
      </c>
      <c r="M450" s="30">
        <v>3502.1854633877774</v>
      </c>
      <c r="N450" s="30">
        <v>1951.4356824777124</v>
      </c>
      <c r="O450" s="30">
        <v>1540.1237142458076</v>
      </c>
      <c r="P450" s="30">
        <v>-558.36520494409433</v>
      </c>
      <c r="R450">
        <v>442</v>
      </c>
      <c r="S450" s="30">
        <v>363.82752991522466</v>
      </c>
      <c r="T450" s="30">
        <v>363.5269225345138</v>
      </c>
      <c r="U450" s="30">
        <v>151.66096201366724</v>
      </c>
      <c r="V450" s="30">
        <v>0</v>
      </c>
      <c r="W450" s="30">
        <v>0</v>
      </c>
      <c r="X450" s="30">
        <v>0</v>
      </c>
    </row>
    <row r="451" spans="10:24" x14ac:dyDescent="0.25">
      <c r="J451">
        <v>443</v>
      </c>
      <c r="K451" s="30">
        <v>2559.7094037074203</v>
      </c>
      <c r="L451" s="30">
        <v>2510.7684281389584</v>
      </c>
      <c r="M451" s="30">
        <v>2457.6230108775494</v>
      </c>
      <c r="N451" s="30">
        <v>562.18331947078332</v>
      </c>
      <c r="O451" s="30">
        <v>1580.0044871216805</v>
      </c>
      <c r="P451" s="30">
        <v>-916.21678872462871</v>
      </c>
      <c r="R451">
        <v>443</v>
      </c>
      <c r="S451" s="30">
        <v>214.59302165881866</v>
      </c>
      <c r="T451" s="30">
        <v>382.56101004180528</v>
      </c>
      <c r="U451" s="30">
        <v>70.873101078666366</v>
      </c>
      <c r="V451" s="30">
        <v>0</v>
      </c>
      <c r="W451" s="30">
        <v>0</v>
      </c>
      <c r="X451" s="30">
        <v>0</v>
      </c>
    </row>
    <row r="452" spans="10:24" x14ac:dyDescent="0.25">
      <c r="J452">
        <v>444</v>
      </c>
      <c r="K452" s="30">
        <v>4253.7602455130191</v>
      </c>
      <c r="L452" s="30">
        <v>2774.8172054730389</v>
      </c>
      <c r="M452" s="30">
        <v>3609.9140507721513</v>
      </c>
      <c r="N452" s="30">
        <v>992.65481700356759</v>
      </c>
      <c r="O452" s="30">
        <v>1733.8588993640915</v>
      </c>
      <c r="P452" s="30">
        <v>-299.47518615243644</v>
      </c>
      <c r="R452">
        <v>444</v>
      </c>
      <c r="S452" s="30">
        <v>303.81131661699214</v>
      </c>
      <c r="T452" s="30">
        <v>224.87566756713875</v>
      </c>
      <c r="U452" s="30">
        <v>47.899824309963662</v>
      </c>
      <c r="V452" s="30">
        <v>0</v>
      </c>
      <c r="W452" s="30">
        <v>5.6450092804786891</v>
      </c>
      <c r="X452" s="30">
        <v>0</v>
      </c>
    </row>
    <row r="453" spans="10:24" x14ac:dyDescent="0.25">
      <c r="J453">
        <v>445</v>
      </c>
      <c r="K453" s="30">
        <v>4166.2758325259092</v>
      </c>
      <c r="L453" s="30">
        <v>3079.2079150013387</v>
      </c>
      <c r="M453" s="30">
        <v>3929.6168460898602</v>
      </c>
      <c r="N453" s="30">
        <v>4004.5146025579379</v>
      </c>
      <c r="O453" s="30">
        <v>2230.6628495787991</v>
      </c>
      <c r="P453" s="30">
        <v>-923.19590128915297</v>
      </c>
      <c r="R453">
        <v>445</v>
      </c>
      <c r="S453" s="30">
        <v>420.82771196061663</v>
      </c>
      <c r="T453" s="30">
        <v>287.71753320509526</v>
      </c>
      <c r="U453" s="30">
        <v>215.17826544139143</v>
      </c>
      <c r="V453" s="30">
        <v>55.962135184310455</v>
      </c>
      <c r="W453" s="30">
        <v>0</v>
      </c>
      <c r="X453" s="30">
        <v>0</v>
      </c>
    </row>
    <row r="454" spans="10:24" x14ac:dyDescent="0.25">
      <c r="J454">
        <v>446</v>
      </c>
      <c r="K454" s="30">
        <v>2085.7942944500537</v>
      </c>
      <c r="L454" s="30">
        <v>2616.7229042716849</v>
      </c>
      <c r="M454" s="30">
        <v>2594.8907118687794</v>
      </c>
      <c r="N454" s="30">
        <v>-677.9218631291069</v>
      </c>
      <c r="O454" s="30">
        <v>810.49662137906671</v>
      </c>
      <c r="P454" s="30">
        <v>-856.15167034977549</v>
      </c>
      <c r="R454">
        <v>446</v>
      </c>
      <c r="S454" s="30">
        <v>235.28751349103715</v>
      </c>
      <c r="T454" s="30">
        <v>246.52616711158328</v>
      </c>
      <c r="U454" s="30">
        <v>119.12071337205549</v>
      </c>
      <c r="V454" s="30">
        <v>0</v>
      </c>
      <c r="W454" s="30">
        <v>6.6316744164976171</v>
      </c>
      <c r="X454" s="30">
        <v>0</v>
      </c>
    </row>
    <row r="455" spans="10:24" x14ac:dyDescent="0.25">
      <c r="J455">
        <v>447</v>
      </c>
      <c r="K455" s="30">
        <v>1620.4016779398448</v>
      </c>
      <c r="L455" s="30">
        <v>2716.8564813382086</v>
      </c>
      <c r="M455" s="30">
        <v>2139.9830981747004</v>
      </c>
      <c r="N455" s="30">
        <v>-1052.8676771719074</v>
      </c>
      <c r="O455" s="30">
        <v>1954.1435734364695</v>
      </c>
      <c r="P455" s="30">
        <v>-1746.7941140005141</v>
      </c>
      <c r="R455">
        <v>447</v>
      </c>
      <c r="S455" s="30">
        <v>360.46272113287984</v>
      </c>
      <c r="T455" s="30">
        <v>303.23513530053202</v>
      </c>
      <c r="U455" s="30">
        <v>184.03981549928193</v>
      </c>
      <c r="V455" s="30">
        <v>0</v>
      </c>
      <c r="W455" s="30">
        <v>135.89275507489322</v>
      </c>
      <c r="X455" s="30">
        <v>0</v>
      </c>
    </row>
    <row r="456" spans="10:24" x14ac:dyDescent="0.25">
      <c r="J456">
        <v>448</v>
      </c>
      <c r="K456" s="30">
        <v>2909.1265676616167</v>
      </c>
      <c r="L456" s="30">
        <v>2529.2446820782761</v>
      </c>
      <c r="M456" s="30">
        <v>3626.1363129420879</v>
      </c>
      <c r="N456" s="30">
        <v>652.99773772877052</v>
      </c>
      <c r="O456" s="30">
        <v>1872.8228544396025</v>
      </c>
      <c r="P456" s="30">
        <v>204.31576313470941</v>
      </c>
      <c r="R456">
        <v>448</v>
      </c>
      <c r="S456" s="30">
        <v>205.8599341819347</v>
      </c>
      <c r="T456" s="30">
        <v>362.67174449010196</v>
      </c>
      <c r="U456" s="30">
        <v>159.05148987449388</v>
      </c>
      <c r="V456" s="30">
        <v>0</v>
      </c>
      <c r="W456" s="30">
        <v>0</v>
      </c>
      <c r="X456" s="30">
        <v>0</v>
      </c>
    </row>
    <row r="457" spans="10:24" x14ac:dyDescent="0.25">
      <c r="J457">
        <v>449</v>
      </c>
      <c r="K457" s="30">
        <v>2944.2953991761688</v>
      </c>
      <c r="L457" s="30">
        <v>2888.5867097208411</v>
      </c>
      <c r="M457" s="30">
        <v>1954.9124917094723</v>
      </c>
      <c r="N457" s="30">
        <v>1077.0199634863475</v>
      </c>
      <c r="O457" s="30">
        <v>2544.2492952350622</v>
      </c>
      <c r="P457" s="30">
        <v>-827.22215714539198</v>
      </c>
      <c r="R457">
        <v>449</v>
      </c>
      <c r="S457" s="30">
        <v>241.38673418691207</v>
      </c>
      <c r="T457" s="30">
        <v>231.96715328999255</v>
      </c>
      <c r="U457" s="30">
        <v>147.50702332908691</v>
      </c>
      <c r="V457" s="30">
        <v>0</v>
      </c>
      <c r="W457" s="30">
        <v>146.34791771645558</v>
      </c>
      <c r="X457" s="30">
        <v>0</v>
      </c>
    </row>
    <row r="458" spans="10:24" x14ac:dyDescent="0.25">
      <c r="J458">
        <v>450</v>
      </c>
      <c r="K458" s="30">
        <v>2274.11159491426</v>
      </c>
      <c r="L458" s="30">
        <v>4496.7336682245932</v>
      </c>
      <c r="M458" s="30">
        <v>2057.9937449910599</v>
      </c>
      <c r="N458" s="30">
        <v>-1079.4041532396323</v>
      </c>
      <c r="O458" s="30">
        <v>410.22247991142922</v>
      </c>
      <c r="P458" s="30">
        <v>-193.95055144540947</v>
      </c>
      <c r="R458">
        <v>450</v>
      </c>
      <c r="S458" s="30">
        <v>316.07171741086415</v>
      </c>
      <c r="T458" s="30">
        <v>197.87597410610982</v>
      </c>
      <c r="U458" s="30">
        <v>171.2377173203131</v>
      </c>
      <c r="V458" s="30">
        <v>0</v>
      </c>
      <c r="W458" s="30">
        <v>0</v>
      </c>
      <c r="X458" s="30">
        <v>0</v>
      </c>
    </row>
    <row r="459" spans="10:24" x14ac:dyDescent="0.25">
      <c r="J459">
        <v>451</v>
      </c>
      <c r="K459" s="30">
        <v>1886.5683573935707</v>
      </c>
      <c r="L459" s="30">
        <v>3044.4164465238791</v>
      </c>
      <c r="M459" s="30">
        <v>3386.4164815029485</v>
      </c>
      <c r="N459" s="30">
        <v>156.69187482173038</v>
      </c>
      <c r="O459" s="30">
        <v>1599.9283103852176</v>
      </c>
      <c r="P459" s="30">
        <v>-2112.9138995245239</v>
      </c>
      <c r="R459">
        <v>451</v>
      </c>
      <c r="S459" s="30">
        <v>299.89370247660088</v>
      </c>
      <c r="T459" s="30">
        <v>376.74014553817125</v>
      </c>
      <c r="U459" s="30">
        <v>207.74771952808715</v>
      </c>
      <c r="V459" s="30">
        <v>0</v>
      </c>
      <c r="W459" s="30">
        <v>90.930368500743839</v>
      </c>
      <c r="X459" s="30">
        <v>0</v>
      </c>
    </row>
    <row r="460" spans="10:24" x14ac:dyDescent="0.25">
      <c r="J460">
        <v>452</v>
      </c>
      <c r="K460" s="30">
        <v>2510.3917211515427</v>
      </c>
      <c r="L460" s="30">
        <v>3418.6223943040809</v>
      </c>
      <c r="M460" s="30">
        <v>3567.7341234252667</v>
      </c>
      <c r="N460" s="30">
        <v>1113.1991875195808</v>
      </c>
      <c r="O460" s="30">
        <v>514.04785853956673</v>
      </c>
      <c r="P460" s="30">
        <v>-2731.1338364258318</v>
      </c>
      <c r="R460">
        <v>452</v>
      </c>
      <c r="S460" s="30">
        <v>228.49822475706736</v>
      </c>
      <c r="T460" s="30">
        <v>219.48311661809419</v>
      </c>
      <c r="U460" s="30">
        <v>91.596866900276893</v>
      </c>
      <c r="V460" s="30">
        <v>0</v>
      </c>
      <c r="W460" s="30">
        <v>0</v>
      </c>
      <c r="X460" s="30">
        <v>0</v>
      </c>
    </row>
    <row r="461" spans="10:24" x14ac:dyDescent="0.25">
      <c r="J461">
        <v>453</v>
      </c>
      <c r="K461" s="30">
        <v>2244.1007959988251</v>
      </c>
      <c r="L461" s="30">
        <v>2871.0842689606757</v>
      </c>
      <c r="M461" s="30">
        <v>2655.7348048005097</v>
      </c>
      <c r="N461" s="30">
        <v>83.92898282292208</v>
      </c>
      <c r="O461" s="30">
        <v>785.86445289881885</v>
      </c>
      <c r="P461" s="30">
        <v>3577.0569784161835</v>
      </c>
      <c r="R461">
        <v>453</v>
      </c>
      <c r="S461" s="30">
        <v>153.17524119535346</v>
      </c>
      <c r="T461" s="30">
        <v>237.76224210767651</v>
      </c>
      <c r="U461" s="30">
        <v>171.98063125036725</v>
      </c>
      <c r="V461" s="30">
        <v>78.724801020981545</v>
      </c>
      <c r="W461" s="30">
        <v>25.241542041980097</v>
      </c>
      <c r="X461" s="30">
        <v>0</v>
      </c>
    </row>
    <row r="462" spans="10:24" x14ac:dyDescent="0.25">
      <c r="J462">
        <v>454</v>
      </c>
      <c r="K462" s="30">
        <v>4055.2312002142125</v>
      </c>
      <c r="L462" s="30">
        <v>3819.9863506831457</v>
      </c>
      <c r="M462" s="30">
        <v>1962.1756017703337</v>
      </c>
      <c r="N462" s="30">
        <v>1358.7374014208735</v>
      </c>
      <c r="O462" s="30">
        <v>-417.17345103789739</v>
      </c>
      <c r="P462" s="30">
        <v>-2137.097127322887</v>
      </c>
      <c r="R462">
        <v>454</v>
      </c>
      <c r="S462" s="30">
        <v>246.90608471809833</v>
      </c>
      <c r="T462" s="30">
        <v>211.21737556662538</v>
      </c>
      <c r="U462" s="30">
        <v>158.12913821457113</v>
      </c>
      <c r="V462" s="30">
        <v>0</v>
      </c>
      <c r="W462" s="30">
        <v>0.84285531197122054</v>
      </c>
      <c r="X462" s="30">
        <v>0</v>
      </c>
    </row>
    <row r="463" spans="10:24" x14ac:dyDescent="0.25">
      <c r="J463">
        <v>455</v>
      </c>
      <c r="K463" s="30">
        <v>2887.7929598657815</v>
      </c>
      <c r="L463" s="30">
        <v>3069.2762314182382</v>
      </c>
      <c r="M463" s="30">
        <v>2093.2696447291346</v>
      </c>
      <c r="N463" s="30">
        <v>-509.69093453550249</v>
      </c>
      <c r="O463" s="30">
        <v>1644.4678975898387</v>
      </c>
      <c r="P463" s="30">
        <v>585.72474530522595</v>
      </c>
      <c r="R463">
        <v>455</v>
      </c>
      <c r="S463" s="30">
        <v>315.44653324793791</v>
      </c>
      <c r="T463" s="30">
        <v>407.04860214016759</v>
      </c>
      <c r="U463" s="30">
        <v>178.03680994461718</v>
      </c>
      <c r="V463" s="30">
        <v>88.194969345797404</v>
      </c>
      <c r="W463" s="30">
        <v>0</v>
      </c>
      <c r="X463" s="30">
        <v>0</v>
      </c>
    </row>
    <row r="464" spans="10:24" x14ac:dyDescent="0.25">
      <c r="J464">
        <v>456</v>
      </c>
      <c r="K464" s="30">
        <v>2631.1396713334511</v>
      </c>
      <c r="L464" s="30">
        <v>4167.6345759508749</v>
      </c>
      <c r="M464" s="30">
        <v>1687.8767753328548</v>
      </c>
      <c r="N464" s="30">
        <v>1660.2697005573573</v>
      </c>
      <c r="O464" s="30">
        <v>3067.1895541318163</v>
      </c>
      <c r="P464" s="30">
        <v>654.16125958501016</v>
      </c>
      <c r="R464">
        <v>456</v>
      </c>
      <c r="S464" s="30">
        <v>215.40679620592749</v>
      </c>
      <c r="T464" s="30">
        <v>274.52452736541426</v>
      </c>
      <c r="U464" s="30">
        <v>175.58294908631774</v>
      </c>
      <c r="V464" s="30">
        <v>0</v>
      </c>
      <c r="W464" s="30">
        <v>0</v>
      </c>
      <c r="X464" s="30">
        <v>0</v>
      </c>
    </row>
    <row r="465" spans="10:24" x14ac:dyDescent="0.25">
      <c r="J465">
        <v>457</v>
      </c>
      <c r="K465" s="30">
        <v>3693.9248929824585</v>
      </c>
      <c r="L465" s="30">
        <v>2951.5860031729535</v>
      </c>
      <c r="M465" s="30">
        <v>1811.9543675386094</v>
      </c>
      <c r="N465" s="30">
        <v>2476.9411987953217</v>
      </c>
      <c r="O465" s="30">
        <v>2165.5083796363942</v>
      </c>
      <c r="P465" s="30">
        <v>-1577.4078937128133</v>
      </c>
      <c r="R465">
        <v>457</v>
      </c>
      <c r="S465" s="30">
        <v>356.28732140566592</v>
      </c>
      <c r="T465" s="30">
        <v>296.29462807282505</v>
      </c>
      <c r="U465" s="30">
        <v>222.15588977087418</v>
      </c>
      <c r="V465" s="30">
        <v>0</v>
      </c>
      <c r="W465" s="30">
        <v>0</v>
      </c>
      <c r="X465" s="30">
        <v>0</v>
      </c>
    </row>
    <row r="466" spans="10:24" x14ac:dyDescent="0.25">
      <c r="J466">
        <v>458</v>
      </c>
      <c r="K466" s="30">
        <v>2250.7220485186194</v>
      </c>
      <c r="L466" s="30">
        <v>3220.4412831233817</v>
      </c>
      <c r="M466" s="30">
        <v>3691.0376419213135</v>
      </c>
      <c r="N466" s="30">
        <v>1544.5793540687882</v>
      </c>
      <c r="O466" s="30">
        <v>1262.337598021144</v>
      </c>
      <c r="P466" s="30">
        <v>-1326.8798786675161</v>
      </c>
      <c r="R466">
        <v>458</v>
      </c>
      <c r="S466" s="30">
        <v>267.08907304927607</v>
      </c>
      <c r="T466" s="30">
        <v>290.21115933663225</v>
      </c>
      <c r="U466" s="30">
        <v>249.4137901381161</v>
      </c>
      <c r="V466" s="30">
        <v>74.579709630320622</v>
      </c>
      <c r="W466" s="30">
        <v>222.82370873252631</v>
      </c>
      <c r="X466" s="30">
        <v>0</v>
      </c>
    </row>
    <row r="467" spans="10:24" x14ac:dyDescent="0.25">
      <c r="J467">
        <v>459</v>
      </c>
      <c r="K467" s="30">
        <v>2821.842165790441</v>
      </c>
      <c r="L467" s="30">
        <v>3688.6499429658943</v>
      </c>
      <c r="M467" s="30">
        <v>1938.9476506055098</v>
      </c>
      <c r="N467" s="30">
        <v>1720.9149760354294</v>
      </c>
      <c r="O467" s="30">
        <v>774.44621072799418</v>
      </c>
      <c r="P467" s="30">
        <v>-114.71762661812045</v>
      </c>
      <c r="R467">
        <v>459</v>
      </c>
      <c r="S467" s="30">
        <v>276.39732575055945</v>
      </c>
      <c r="T467" s="30">
        <v>426.2203368305386</v>
      </c>
      <c r="U467" s="30">
        <v>238.64714589151515</v>
      </c>
      <c r="V467" s="30">
        <v>0</v>
      </c>
      <c r="W467" s="30">
        <v>0.93183487413477906</v>
      </c>
      <c r="X467" s="30">
        <v>0</v>
      </c>
    </row>
    <row r="468" spans="10:24" x14ac:dyDescent="0.25">
      <c r="J468">
        <v>460</v>
      </c>
      <c r="K468" s="30">
        <v>2621.7239071753315</v>
      </c>
      <c r="L468" s="30">
        <v>3690.5105821397224</v>
      </c>
      <c r="M468" s="30">
        <v>2639.2410319719652</v>
      </c>
      <c r="N468" s="30">
        <v>-860.39678286468552</v>
      </c>
      <c r="O468" s="30">
        <v>775.0707992789421</v>
      </c>
      <c r="P468" s="30">
        <v>-78.948487416580065</v>
      </c>
      <c r="R468">
        <v>460</v>
      </c>
      <c r="S468" s="30">
        <v>386.86598008485373</v>
      </c>
      <c r="T468" s="30">
        <v>277.55504644546727</v>
      </c>
      <c r="U468" s="30">
        <v>195.18309601679118</v>
      </c>
      <c r="V468" s="30">
        <v>0</v>
      </c>
      <c r="W468" s="30">
        <v>0</v>
      </c>
      <c r="X468" s="30">
        <v>0</v>
      </c>
    </row>
    <row r="469" spans="10:24" x14ac:dyDescent="0.25">
      <c r="J469">
        <v>461</v>
      </c>
      <c r="K469" s="30">
        <v>2218.1956448526225</v>
      </c>
      <c r="L469" s="30">
        <v>2281.9090457173265</v>
      </c>
      <c r="M469" s="30">
        <v>1869.941805746862</v>
      </c>
      <c r="N469" s="30">
        <v>123.4425586301104</v>
      </c>
      <c r="O469" s="30">
        <v>684.01671117299975</v>
      </c>
      <c r="P469" s="30">
        <v>-1834.0249101618419</v>
      </c>
      <c r="R469">
        <v>461</v>
      </c>
      <c r="S469" s="30">
        <v>236.85201756538646</v>
      </c>
      <c r="T469" s="30">
        <v>248.53456116195309</v>
      </c>
      <c r="U469" s="30">
        <v>259.73506121267917</v>
      </c>
      <c r="V469" s="30">
        <v>0</v>
      </c>
      <c r="W469" s="30">
        <v>59.143305885116661</v>
      </c>
      <c r="X469" s="30">
        <v>4.3394935766322078</v>
      </c>
    </row>
    <row r="470" spans="10:24" x14ac:dyDescent="0.25">
      <c r="J470">
        <v>462</v>
      </c>
      <c r="K470" s="30">
        <v>2832.5544617437395</v>
      </c>
      <c r="L470" s="30">
        <v>2472.0846280158157</v>
      </c>
      <c r="M470" s="30">
        <v>1392.1534609748483</v>
      </c>
      <c r="N470" s="30">
        <v>-1511.3941781335106</v>
      </c>
      <c r="O470" s="30">
        <v>763.93518803631378</v>
      </c>
      <c r="P470" s="30">
        <v>-1284.8174971830504</v>
      </c>
      <c r="R470">
        <v>462</v>
      </c>
      <c r="S470" s="30">
        <v>67.834862831336125</v>
      </c>
      <c r="T470" s="30">
        <v>261.40837361161806</v>
      </c>
      <c r="U470" s="30">
        <v>89.82626758285204</v>
      </c>
      <c r="V470" s="30">
        <v>0</v>
      </c>
      <c r="W470" s="30">
        <v>33.131481105929197</v>
      </c>
      <c r="X470" s="30">
        <v>0</v>
      </c>
    </row>
    <row r="471" spans="10:24" x14ac:dyDescent="0.25">
      <c r="J471">
        <v>463</v>
      </c>
      <c r="K471" s="30">
        <v>3972.494619211649</v>
      </c>
      <c r="L471" s="30">
        <v>2472.9446669604308</v>
      </c>
      <c r="M471" s="30">
        <v>2259.645963192545</v>
      </c>
      <c r="N471" s="30">
        <v>-529.97662700315595</v>
      </c>
      <c r="O471" s="30">
        <v>2296.4517067991846</v>
      </c>
      <c r="P471" s="30">
        <v>-2284.5774868383769</v>
      </c>
      <c r="R471">
        <v>463</v>
      </c>
      <c r="S471" s="30">
        <v>325.9713945107024</v>
      </c>
      <c r="T471" s="30">
        <v>236.73669444191557</v>
      </c>
      <c r="U471" s="30">
        <v>118.2916964376796</v>
      </c>
      <c r="V471" s="30">
        <v>0</v>
      </c>
      <c r="W471" s="30">
        <v>0</v>
      </c>
      <c r="X471" s="30">
        <v>0</v>
      </c>
    </row>
    <row r="472" spans="10:24" x14ac:dyDescent="0.25">
      <c r="J472">
        <v>464</v>
      </c>
      <c r="K472" s="30">
        <v>2650.0433920751416</v>
      </c>
      <c r="L472" s="30">
        <v>4277.3176427698763</v>
      </c>
      <c r="M472" s="30">
        <v>2352.2609137751492</v>
      </c>
      <c r="N472" s="30">
        <v>-749.22659212262533</v>
      </c>
      <c r="O472" s="30">
        <v>2107.728557902371</v>
      </c>
      <c r="P472" s="30">
        <v>-3829.5568723717906</v>
      </c>
      <c r="R472">
        <v>464</v>
      </c>
      <c r="S472" s="30">
        <v>243.76192547586476</v>
      </c>
      <c r="T472" s="30">
        <v>434.76300930952755</v>
      </c>
      <c r="U472" s="30">
        <v>107.33184942268389</v>
      </c>
      <c r="V472" s="30">
        <v>0</v>
      </c>
      <c r="W472" s="30">
        <v>0</v>
      </c>
      <c r="X472" s="30">
        <v>0</v>
      </c>
    </row>
    <row r="473" spans="10:24" x14ac:dyDescent="0.25">
      <c r="J473">
        <v>465</v>
      </c>
      <c r="K473" s="30">
        <v>3881.0022016217599</v>
      </c>
      <c r="L473" s="30">
        <v>2782.3849457708616</v>
      </c>
      <c r="M473" s="30">
        <v>2971.5797811672201</v>
      </c>
      <c r="N473" s="30">
        <v>2376.7640065407813</v>
      </c>
      <c r="O473" s="30">
        <v>3168.150335083873</v>
      </c>
      <c r="P473" s="30">
        <v>-246.43973671848835</v>
      </c>
      <c r="R473">
        <v>465</v>
      </c>
      <c r="S473" s="30">
        <v>203.7183273338714</v>
      </c>
      <c r="T473" s="30">
        <v>372.66162658940641</v>
      </c>
      <c r="U473" s="30">
        <v>149.98743731438276</v>
      </c>
      <c r="V473" s="30">
        <v>0</v>
      </c>
      <c r="W473" s="30">
        <v>115.07604578868768</v>
      </c>
      <c r="X473" s="30">
        <v>0</v>
      </c>
    </row>
    <row r="474" spans="10:24" x14ac:dyDescent="0.25">
      <c r="J474">
        <v>466</v>
      </c>
      <c r="K474" s="30">
        <v>2758.0195079150149</v>
      </c>
      <c r="L474" s="30">
        <v>3043.5787867191448</v>
      </c>
      <c r="M474" s="30">
        <v>2235.6514276759067</v>
      </c>
      <c r="N474" s="30">
        <v>-422.87437274891454</v>
      </c>
      <c r="O474" s="30">
        <v>-812.30592310401335</v>
      </c>
      <c r="P474" s="30">
        <v>-616.9935284365838</v>
      </c>
      <c r="R474">
        <v>466</v>
      </c>
      <c r="S474" s="30">
        <v>325.50100970765772</v>
      </c>
      <c r="T474" s="30">
        <v>278.0096627777869</v>
      </c>
      <c r="U474" s="30">
        <v>274.75617887199019</v>
      </c>
      <c r="V474" s="30">
        <v>28.444435736111132</v>
      </c>
      <c r="W474" s="30">
        <v>0</v>
      </c>
      <c r="X474" s="30">
        <v>0</v>
      </c>
    </row>
    <row r="475" spans="10:24" x14ac:dyDescent="0.25">
      <c r="J475">
        <v>467</v>
      </c>
      <c r="K475" s="30">
        <v>2626.720407175193</v>
      </c>
      <c r="L475" s="30">
        <v>2705.4923066164797</v>
      </c>
      <c r="M475" s="30">
        <v>3597.4566873255308</v>
      </c>
      <c r="N475" s="30">
        <v>2150.800818985188</v>
      </c>
      <c r="O475" s="30">
        <v>2433.6536584389532</v>
      </c>
      <c r="P475" s="30">
        <v>-1683.9103940774066</v>
      </c>
      <c r="R475">
        <v>467</v>
      </c>
      <c r="S475" s="30">
        <v>388.23469894981156</v>
      </c>
      <c r="T475" s="30">
        <v>215.97790334126358</v>
      </c>
      <c r="U475" s="30">
        <v>152.79730986366735</v>
      </c>
      <c r="V475" s="30">
        <v>0</v>
      </c>
      <c r="W475" s="30">
        <v>41.262743695811764</v>
      </c>
      <c r="X475" s="30">
        <v>0</v>
      </c>
    </row>
    <row r="476" spans="10:24" x14ac:dyDescent="0.25">
      <c r="J476">
        <v>468</v>
      </c>
      <c r="K476" s="30">
        <v>1828.8725521187025</v>
      </c>
      <c r="L476" s="30">
        <v>3997.6002684464129</v>
      </c>
      <c r="M476" s="30">
        <v>2525.6370188791948</v>
      </c>
      <c r="N476" s="30">
        <v>92.881645196687714</v>
      </c>
      <c r="O476" s="30">
        <v>1643.4892661137083</v>
      </c>
      <c r="P476" s="30">
        <v>24.790761894768366</v>
      </c>
      <c r="R476">
        <v>468</v>
      </c>
      <c r="S476" s="30">
        <v>210.46040647934063</v>
      </c>
      <c r="T476" s="30">
        <v>267.05758167899074</v>
      </c>
      <c r="U476" s="30">
        <v>267.17649332459888</v>
      </c>
      <c r="V476" s="30">
        <v>0</v>
      </c>
      <c r="W476" s="30">
        <v>0</v>
      </c>
      <c r="X476" s="30">
        <v>0</v>
      </c>
    </row>
    <row r="477" spans="10:24" x14ac:dyDescent="0.25">
      <c r="J477">
        <v>469</v>
      </c>
      <c r="K477" s="30">
        <v>3972.5342443391323</v>
      </c>
      <c r="L477" s="30">
        <v>2343.065022214078</v>
      </c>
      <c r="M477" s="30">
        <v>2647.1668268793574</v>
      </c>
      <c r="N477" s="30">
        <v>734.65106439619922</v>
      </c>
      <c r="O477" s="30">
        <v>1868.8271433789087</v>
      </c>
      <c r="P477" s="30">
        <v>238.15131066274444</v>
      </c>
      <c r="R477">
        <v>469</v>
      </c>
      <c r="S477" s="30">
        <v>170.18754218738798</v>
      </c>
      <c r="T477" s="30">
        <v>451.96764193642764</v>
      </c>
      <c r="U477" s="30">
        <v>194.30293343431453</v>
      </c>
      <c r="V477" s="30">
        <v>0</v>
      </c>
      <c r="W477" s="30">
        <v>146.82915997767793</v>
      </c>
      <c r="X477" s="30">
        <v>0</v>
      </c>
    </row>
    <row r="478" spans="10:24" x14ac:dyDescent="0.25">
      <c r="J478">
        <v>470</v>
      </c>
      <c r="K478" s="30">
        <v>3917.7512588374066</v>
      </c>
      <c r="L478" s="30">
        <v>3489.9093326121338</v>
      </c>
      <c r="M478" s="30">
        <v>3675.5061132883775</v>
      </c>
      <c r="N478" s="30">
        <v>-993.87343059665545</v>
      </c>
      <c r="O478" s="30">
        <v>891.47208785549628</v>
      </c>
      <c r="P478" s="30">
        <v>-2118.262315000472</v>
      </c>
      <c r="R478">
        <v>470</v>
      </c>
      <c r="S478" s="30">
        <v>335.85660428588312</v>
      </c>
      <c r="T478" s="30">
        <v>215.74877277967857</v>
      </c>
      <c r="U478" s="30">
        <v>193.05892434503858</v>
      </c>
      <c r="V478" s="30">
        <v>11.672402717581406</v>
      </c>
      <c r="W478" s="30">
        <v>0</v>
      </c>
      <c r="X478" s="30">
        <v>0</v>
      </c>
    </row>
    <row r="479" spans="10:24" x14ac:dyDescent="0.25">
      <c r="J479">
        <v>471</v>
      </c>
      <c r="K479" s="30">
        <v>2453.7927676760555</v>
      </c>
      <c r="L479" s="30">
        <v>3264.6664742927101</v>
      </c>
      <c r="M479" s="30">
        <v>3926.4981952726157</v>
      </c>
      <c r="N479" s="30">
        <v>1010.0471258609541</v>
      </c>
      <c r="O479" s="30">
        <v>1337.3523259787253</v>
      </c>
      <c r="P479" s="30">
        <v>-1431.7283596501793</v>
      </c>
      <c r="R479">
        <v>471</v>
      </c>
      <c r="S479" s="30">
        <v>301.18391664238118</v>
      </c>
      <c r="T479" s="30">
        <v>292.85456532370017</v>
      </c>
      <c r="U479" s="30">
        <v>32.331545820480301</v>
      </c>
      <c r="V479" s="30">
        <v>19.417490649213619</v>
      </c>
      <c r="W479" s="30">
        <v>0</v>
      </c>
      <c r="X479" s="30">
        <v>0</v>
      </c>
    </row>
    <row r="480" spans="10:24" x14ac:dyDescent="0.25">
      <c r="J480">
        <v>472</v>
      </c>
      <c r="K480" s="30">
        <v>4106.7633707729583</v>
      </c>
      <c r="L480" s="30">
        <v>2752.9233333840421</v>
      </c>
      <c r="M480" s="30">
        <v>2486.5166980164036</v>
      </c>
      <c r="N480" s="30">
        <v>3482.1683205583231</v>
      </c>
      <c r="O480" s="30">
        <v>-702.6957384630814</v>
      </c>
      <c r="P480" s="30">
        <v>-3148.386501877827</v>
      </c>
      <c r="R480">
        <v>472</v>
      </c>
      <c r="S480" s="30">
        <v>346.18386278801898</v>
      </c>
      <c r="T480" s="30">
        <v>289.76212725218085</v>
      </c>
      <c r="U480" s="30">
        <v>85.268615373469686</v>
      </c>
      <c r="V480" s="30">
        <v>168.50440350682578</v>
      </c>
      <c r="W480" s="30">
        <v>0</v>
      </c>
      <c r="X480" s="30">
        <v>0</v>
      </c>
    </row>
    <row r="481" spans="10:24" x14ac:dyDescent="0.25">
      <c r="J481">
        <v>473</v>
      </c>
      <c r="K481" s="30">
        <v>2092.2388103831872</v>
      </c>
      <c r="L481" s="30">
        <v>2939.6853652941327</v>
      </c>
      <c r="M481" s="30">
        <v>1911.7288398949186</v>
      </c>
      <c r="N481" s="30">
        <v>-709.46326639093149</v>
      </c>
      <c r="O481" s="30">
        <v>639.78759420578626</v>
      </c>
      <c r="P481" s="30">
        <v>-34.365756392998264</v>
      </c>
      <c r="R481">
        <v>473</v>
      </c>
      <c r="S481" s="30">
        <v>360.82847213719214</v>
      </c>
      <c r="T481" s="30">
        <v>280.95464079499533</v>
      </c>
      <c r="U481" s="30">
        <v>186.61072348287922</v>
      </c>
      <c r="V481" s="30">
        <v>45.631789248981647</v>
      </c>
      <c r="W481" s="30">
        <v>0</v>
      </c>
      <c r="X481" s="30">
        <v>0</v>
      </c>
    </row>
    <row r="482" spans="10:24" x14ac:dyDescent="0.25">
      <c r="J482">
        <v>474</v>
      </c>
      <c r="K482" s="30">
        <v>2406.8800066766516</v>
      </c>
      <c r="L482" s="30">
        <v>2509.2284877396655</v>
      </c>
      <c r="M482" s="30">
        <v>2089.1559749690714</v>
      </c>
      <c r="N482" s="30">
        <v>-733.81804974156239</v>
      </c>
      <c r="O482" s="30">
        <v>1863.2768681032021</v>
      </c>
      <c r="P482" s="30">
        <v>-1122.0339534787918</v>
      </c>
      <c r="R482">
        <v>474</v>
      </c>
      <c r="S482" s="30">
        <v>170.02327804555102</v>
      </c>
      <c r="T482" s="30">
        <v>264.20761186787189</v>
      </c>
      <c r="U482" s="30">
        <v>163.21918088992493</v>
      </c>
      <c r="V482" s="30">
        <v>0</v>
      </c>
      <c r="W482" s="30">
        <v>140.30304146228207</v>
      </c>
      <c r="X482" s="30">
        <v>0</v>
      </c>
    </row>
    <row r="483" spans="10:24" x14ac:dyDescent="0.25">
      <c r="J483">
        <v>475</v>
      </c>
      <c r="K483" s="30">
        <v>2325.578735493832</v>
      </c>
      <c r="L483" s="30">
        <v>1875.1221474251724</v>
      </c>
      <c r="M483" s="30">
        <v>1454.132426053935</v>
      </c>
      <c r="N483" s="30">
        <v>34.249460053103576</v>
      </c>
      <c r="O483" s="30">
        <v>-681.45120915644475</v>
      </c>
      <c r="P483" s="30">
        <v>-2626.2152822540183</v>
      </c>
      <c r="R483">
        <v>475</v>
      </c>
      <c r="S483" s="30">
        <v>164.65006906658351</v>
      </c>
      <c r="T483" s="30">
        <v>373.87320431641461</v>
      </c>
      <c r="U483" s="30">
        <v>79.947020999503195</v>
      </c>
      <c r="V483" s="30">
        <v>0</v>
      </c>
      <c r="W483" s="30">
        <v>0</v>
      </c>
      <c r="X483" s="30">
        <v>0</v>
      </c>
    </row>
    <row r="484" spans="10:24" x14ac:dyDescent="0.25">
      <c r="J484">
        <v>476</v>
      </c>
      <c r="K484" s="30">
        <v>2381.565535031933</v>
      </c>
      <c r="L484" s="30">
        <v>3025.9931878758489</v>
      </c>
      <c r="M484" s="30">
        <v>1891.8725301615723</v>
      </c>
      <c r="N484" s="30">
        <v>497.40566592730374</v>
      </c>
      <c r="O484" s="30">
        <v>-413.30836117387298</v>
      </c>
      <c r="P484" s="30">
        <v>-2742.9205603732744</v>
      </c>
      <c r="R484">
        <v>476</v>
      </c>
      <c r="S484" s="30">
        <v>186.92583546169186</v>
      </c>
      <c r="T484" s="30">
        <v>287.19409838010694</v>
      </c>
      <c r="U484" s="30">
        <v>250.5026036507989</v>
      </c>
      <c r="V484" s="30">
        <v>11.753188809050016</v>
      </c>
      <c r="W484" s="30">
        <v>32.323477075789469</v>
      </c>
      <c r="X484" s="30">
        <v>0</v>
      </c>
    </row>
    <row r="485" spans="10:24" x14ac:dyDescent="0.25">
      <c r="J485">
        <v>477</v>
      </c>
      <c r="K485" s="30">
        <v>2575.4575141680943</v>
      </c>
      <c r="L485" s="30">
        <v>4369.0210592317635</v>
      </c>
      <c r="M485" s="30">
        <v>1734.4229283547584</v>
      </c>
      <c r="N485" s="30">
        <v>2007.1293437121676</v>
      </c>
      <c r="O485" s="30">
        <v>1764.650829696955</v>
      </c>
      <c r="P485" s="30">
        <v>-179.40752271050587</v>
      </c>
      <c r="R485">
        <v>477</v>
      </c>
      <c r="S485" s="30">
        <v>127.43030388037079</v>
      </c>
      <c r="T485" s="30">
        <v>290.88973493329786</v>
      </c>
      <c r="U485" s="30">
        <v>181.41802595860571</v>
      </c>
      <c r="V485" s="30">
        <v>0</v>
      </c>
      <c r="W485" s="30">
        <v>0</v>
      </c>
      <c r="X485" s="30">
        <v>0</v>
      </c>
    </row>
    <row r="486" spans="10:24" x14ac:dyDescent="0.25">
      <c r="J486">
        <v>478</v>
      </c>
      <c r="K486" s="30">
        <v>4233.0785236458996</v>
      </c>
      <c r="L486" s="30">
        <v>4562.4535870463078</v>
      </c>
      <c r="M486" s="30">
        <v>2601.6900646787517</v>
      </c>
      <c r="N486" s="30">
        <v>-179.19385888233228</v>
      </c>
      <c r="O486" s="30">
        <v>4155.6014764344054</v>
      </c>
      <c r="P486" s="30">
        <v>-1426.0696021999856</v>
      </c>
      <c r="R486">
        <v>478</v>
      </c>
      <c r="S486" s="30">
        <v>262.37502982569265</v>
      </c>
      <c r="T486" s="30">
        <v>254.2083748944425</v>
      </c>
      <c r="U486" s="30">
        <v>205.92473782033449</v>
      </c>
      <c r="V486" s="30">
        <v>0</v>
      </c>
      <c r="W486" s="30">
        <v>73.363528903476322</v>
      </c>
      <c r="X486" s="30">
        <v>0</v>
      </c>
    </row>
    <row r="487" spans="10:24" x14ac:dyDescent="0.25">
      <c r="J487">
        <v>479</v>
      </c>
      <c r="K487" s="30">
        <v>2833.9722881298767</v>
      </c>
      <c r="L487" s="30">
        <v>2234.2861403121142</v>
      </c>
      <c r="M487" s="30">
        <v>2059.1717697337172</v>
      </c>
      <c r="N487" s="30">
        <v>1638.3953219323248</v>
      </c>
      <c r="O487" s="30">
        <v>1464.6911760279145</v>
      </c>
      <c r="P487" s="30">
        <v>-2496.9946652805947</v>
      </c>
      <c r="R487">
        <v>479</v>
      </c>
      <c r="S487" s="30">
        <v>237.63683151421623</v>
      </c>
      <c r="T487" s="30">
        <v>230.56838229073998</v>
      </c>
      <c r="U487" s="30">
        <v>216.57838445698923</v>
      </c>
      <c r="V487" s="30">
        <v>0</v>
      </c>
      <c r="W487" s="30">
        <v>0</v>
      </c>
      <c r="X487" s="30">
        <v>0</v>
      </c>
    </row>
    <row r="488" spans="10:24" x14ac:dyDescent="0.25">
      <c r="J488">
        <v>480</v>
      </c>
      <c r="K488" s="30">
        <v>2105.5587124047647</v>
      </c>
      <c r="L488" s="30">
        <v>3141.5570848275756</v>
      </c>
      <c r="M488" s="30">
        <v>3873.6961693047388</v>
      </c>
      <c r="N488" s="30">
        <v>59.077125255649662</v>
      </c>
      <c r="O488" s="30">
        <v>1060.5232065411737</v>
      </c>
      <c r="P488" s="30">
        <v>144.82703414492335</v>
      </c>
      <c r="R488">
        <v>480</v>
      </c>
      <c r="S488" s="30">
        <v>298.17449263148728</v>
      </c>
      <c r="T488" s="30">
        <v>227.42632793135499</v>
      </c>
      <c r="U488" s="30">
        <v>243.9237057388973</v>
      </c>
      <c r="V488" s="30">
        <v>0</v>
      </c>
      <c r="W488" s="30">
        <v>0</v>
      </c>
      <c r="X488" s="30">
        <v>0</v>
      </c>
    </row>
    <row r="489" spans="10:24" x14ac:dyDescent="0.25">
      <c r="J489">
        <v>481</v>
      </c>
      <c r="K489" s="30">
        <v>3068.9500842721004</v>
      </c>
      <c r="L489" s="30">
        <v>2367.5610470226443</v>
      </c>
      <c r="M489" s="30">
        <v>2267.8316733181878</v>
      </c>
      <c r="N489" s="30">
        <v>3897.4731350831307</v>
      </c>
      <c r="O489" s="30">
        <v>-927.85628473377528</v>
      </c>
      <c r="P489" s="30">
        <v>-242.25546316584132</v>
      </c>
      <c r="R489">
        <v>481</v>
      </c>
      <c r="S489" s="30">
        <v>287.22798592954348</v>
      </c>
      <c r="T489" s="30">
        <v>297.77751717390595</v>
      </c>
      <c r="U489" s="30">
        <v>116.25566844301528</v>
      </c>
      <c r="V489" s="30">
        <v>0</v>
      </c>
      <c r="W489" s="30">
        <v>0</v>
      </c>
      <c r="X489" s="30">
        <v>0</v>
      </c>
    </row>
    <row r="490" spans="10:24" x14ac:dyDescent="0.25">
      <c r="J490">
        <v>482</v>
      </c>
      <c r="K490" s="30">
        <v>2946.5649698569664</v>
      </c>
      <c r="L490" s="30">
        <v>2711.4675601310546</v>
      </c>
      <c r="M490" s="30">
        <v>2115.2146810650947</v>
      </c>
      <c r="N490" s="30">
        <v>791.59415879180597</v>
      </c>
      <c r="O490" s="30">
        <v>875.43342528475296</v>
      </c>
      <c r="P490" s="30">
        <v>-1821.3474109630115</v>
      </c>
      <c r="R490">
        <v>482</v>
      </c>
      <c r="S490" s="30">
        <v>214.61266456535384</v>
      </c>
      <c r="T490" s="30">
        <v>331.37987128817019</v>
      </c>
      <c r="U490" s="30">
        <v>65.446241397892095</v>
      </c>
      <c r="V490" s="30">
        <v>0</v>
      </c>
      <c r="W490" s="30">
        <v>161.47904265485539</v>
      </c>
      <c r="X490" s="30">
        <v>0</v>
      </c>
    </row>
    <row r="491" spans="10:24" x14ac:dyDescent="0.25">
      <c r="J491">
        <v>483</v>
      </c>
      <c r="K491" s="30">
        <v>1590.3130872147158</v>
      </c>
      <c r="L491" s="30">
        <v>3264.4270118514187</v>
      </c>
      <c r="M491" s="30">
        <v>1519.5574760234431</v>
      </c>
      <c r="N491" s="30">
        <v>61.431271339034538</v>
      </c>
      <c r="O491" s="30">
        <v>2702.2883762432284</v>
      </c>
      <c r="P491" s="30">
        <v>544.89519467750233</v>
      </c>
      <c r="R491">
        <v>483</v>
      </c>
      <c r="S491" s="30">
        <v>306.8608273489308</v>
      </c>
      <c r="T491" s="30">
        <v>284.40161962060313</v>
      </c>
      <c r="U491" s="30">
        <v>264.02277027047631</v>
      </c>
      <c r="V491" s="30">
        <v>0</v>
      </c>
      <c r="W491" s="30">
        <v>0</v>
      </c>
      <c r="X491" s="30">
        <v>113.73627604666444</v>
      </c>
    </row>
    <row r="492" spans="10:24" x14ac:dyDescent="0.25">
      <c r="J492">
        <v>484</v>
      </c>
      <c r="K492" s="30">
        <v>4075.4846389459944</v>
      </c>
      <c r="L492" s="30">
        <v>3035.4206984361313</v>
      </c>
      <c r="M492" s="30">
        <v>3599.5230524527124</v>
      </c>
      <c r="N492" s="30">
        <v>-728.82350697878246</v>
      </c>
      <c r="O492" s="30">
        <v>-1932.9950978573288</v>
      </c>
      <c r="P492" s="30">
        <v>627.48363950712701</v>
      </c>
      <c r="R492">
        <v>484</v>
      </c>
      <c r="S492" s="30">
        <v>183.56771502568643</v>
      </c>
      <c r="T492" s="30">
        <v>274.49196727998572</v>
      </c>
      <c r="U492" s="30">
        <v>118.73462282417381</v>
      </c>
      <c r="V492" s="30">
        <v>0</v>
      </c>
      <c r="W492" s="30">
        <v>19.471800310065873</v>
      </c>
      <c r="X492" s="30">
        <v>0</v>
      </c>
    </row>
    <row r="493" spans="10:24" x14ac:dyDescent="0.25">
      <c r="J493">
        <v>485</v>
      </c>
      <c r="K493" s="30">
        <v>2136.9920341727734</v>
      </c>
      <c r="L493" s="30">
        <v>2707.1263138991185</v>
      </c>
      <c r="M493" s="30">
        <v>2765.1038018670179</v>
      </c>
      <c r="N493" s="30">
        <v>-501.96516993289606</v>
      </c>
      <c r="O493" s="30">
        <v>2472.9338506839022</v>
      </c>
      <c r="P493" s="30">
        <v>-429.91399519800689</v>
      </c>
      <c r="R493">
        <v>485</v>
      </c>
      <c r="S493" s="30">
        <v>276.09755486280335</v>
      </c>
      <c r="T493" s="30">
        <v>352.49889052109495</v>
      </c>
      <c r="U493" s="30">
        <v>258.23051826932959</v>
      </c>
      <c r="V493" s="30">
        <v>0</v>
      </c>
      <c r="W493" s="30">
        <v>0</v>
      </c>
      <c r="X493" s="30">
        <v>0</v>
      </c>
    </row>
    <row r="494" spans="10:24" x14ac:dyDescent="0.25">
      <c r="J494">
        <v>486</v>
      </c>
      <c r="K494" s="30">
        <v>2416.0988476376306</v>
      </c>
      <c r="L494" s="30">
        <v>2231.6258952594249</v>
      </c>
      <c r="M494" s="30">
        <v>994.58653462839857</v>
      </c>
      <c r="N494" s="30">
        <v>27.014527349321725</v>
      </c>
      <c r="O494" s="30">
        <v>498.34412049001276</v>
      </c>
      <c r="P494" s="30">
        <v>-1901.2125676280748</v>
      </c>
      <c r="R494">
        <v>486</v>
      </c>
      <c r="S494" s="30">
        <v>306.41844982041448</v>
      </c>
      <c r="T494" s="30">
        <v>328.16111806774967</v>
      </c>
      <c r="U494" s="30">
        <v>91.222829323306314</v>
      </c>
      <c r="V494" s="30">
        <v>0</v>
      </c>
      <c r="W494" s="30">
        <v>0</v>
      </c>
      <c r="X494" s="30">
        <v>0</v>
      </c>
    </row>
    <row r="495" spans="10:24" x14ac:dyDescent="0.25">
      <c r="J495">
        <v>487</v>
      </c>
      <c r="K495" s="30">
        <v>1841.2919322844377</v>
      </c>
      <c r="L495" s="30">
        <v>2897.0349005181984</v>
      </c>
      <c r="M495" s="30">
        <v>2682.5721157379116</v>
      </c>
      <c r="N495" s="30">
        <v>-26.860832727823436</v>
      </c>
      <c r="O495" s="30">
        <v>2109.8572265649464</v>
      </c>
      <c r="P495" s="30">
        <v>-270.31501973942704</v>
      </c>
      <c r="R495">
        <v>487</v>
      </c>
      <c r="S495" s="30">
        <v>161.21047499591589</v>
      </c>
      <c r="T495" s="30">
        <v>321.95280270854522</v>
      </c>
      <c r="U495" s="30">
        <v>337.40272143312302</v>
      </c>
      <c r="V495" s="30">
        <v>0</v>
      </c>
      <c r="W495" s="30">
        <v>85.200325822591083</v>
      </c>
      <c r="X495" s="30">
        <v>0</v>
      </c>
    </row>
    <row r="496" spans="10:24" x14ac:dyDescent="0.25">
      <c r="J496">
        <v>488</v>
      </c>
      <c r="K496" s="30">
        <v>2794.6386413643727</v>
      </c>
      <c r="L496" s="30">
        <v>4168.2982684841863</v>
      </c>
      <c r="M496" s="30">
        <v>2267.5019012551247</v>
      </c>
      <c r="N496" s="30">
        <v>864.79454288937904</v>
      </c>
      <c r="O496" s="30">
        <v>56.738196577263807</v>
      </c>
      <c r="P496" s="30">
        <v>76.036280391886976</v>
      </c>
      <c r="R496">
        <v>488</v>
      </c>
      <c r="S496" s="30">
        <v>265.74987535798664</v>
      </c>
      <c r="T496" s="30">
        <v>327.36285388336051</v>
      </c>
      <c r="U496" s="30">
        <v>202.74714361063235</v>
      </c>
      <c r="V496" s="30">
        <v>0</v>
      </c>
      <c r="W496" s="30">
        <v>0</v>
      </c>
      <c r="X496" s="30">
        <v>0</v>
      </c>
    </row>
    <row r="497" spans="10:24" x14ac:dyDescent="0.25">
      <c r="J497">
        <v>489</v>
      </c>
      <c r="K497" s="30">
        <v>2677.8376633540856</v>
      </c>
      <c r="L497" s="30">
        <v>1830.3790070075643</v>
      </c>
      <c r="M497" s="30">
        <v>1551.8922227230805</v>
      </c>
      <c r="N497" s="30">
        <v>-661.86576265091207</v>
      </c>
      <c r="O497" s="30">
        <v>1766.2347046950272</v>
      </c>
      <c r="P497" s="30">
        <v>-458.64697891034484</v>
      </c>
      <c r="R497">
        <v>489</v>
      </c>
      <c r="S497" s="30">
        <v>277.76642695546315</v>
      </c>
      <c r="T497" s="30">
        <v>310.1246945031989</v>
      </c>
      <c r="U497" s="30">
        <v>61.785023210684642</v>
      </c>
      <c r="V497" s="30">
        <v>0</v>
      </c>
      <c r="W497" s="30">
        <v>164.66083960838114</v>
      </c>
      <c r="X497" s="30">
        <v>14.447710663563896</v>
      </c>
    </row>
    <row r="498" spans="10:24" x14ac:dyDescent="0.25">
      <c r="J498">
        <v>490</v>
      </c>
      <c r="K498" s="30">
        <v>2689.6174423458297</v>
      </c>
      <c r="L498" s="30">
        <v>3747.978595847871</v>
      </c>
      <c r="M498" s="30">
        <v>1845.4160238491449</v>
      </c>
      <c r="N498" s="30">
        <v>2525.2350890955295</v>
      </c>
      <c r="O498" s="30">
        <v>1232.8662088482715</v>
      </c>
      <c r="P498" s="30">
        <v>1140.8931557645446</v>
      </c>
      <c r="R498">
        <v>490</v>
      </c>
      <c r="S498" s="30">
        <v>337.50362752528196</v>
      </c>
      <c r="T498" s="30">
        <v>272.73492671878603</v>
      </c>
      <c r="U498" s="30">
        <v>89.936790603723864</v>
      </c>
      <c r="V498" s="30">
        <v>0</v>
      </c>
      <c r="W498" s="30">
        <v>0</v>
      </c>
      <c r="X498" s="30">
        <v>0</v>
      </c>
    </row>
    <row r="499" spans="10:24" x14ac:dyDescent="0.25">
      <c r="J499">
        <v>491</v>
      </c>
      <c r="K499" s="30">
        <v>3721.3429013497116</v>
      </c>
      <c r="L499" s="30">
        <v>2518.7748799558231</v>
      </c>
      <c r="M499" s="30">
        <v>3583.1344237900421</v>
      </c>
      <c r="N499" s="30">
        <v>-339.3834385235341</v>
      </c>
      <c r="O499" s="30">
        <v>3571.8174971334529</v>
      </c>
      <c r="P499" s="30">
        <v>-600.33121643944833</v>
      </c>
      <c r="R499">
        <v>491</v>
      </c>
      <c r="S499" s="30">
        <v>331.63169412351579</v>
      </c>
      <c r="T499" s="30">
        <v>333.55399699201342</v>
      </c>
      <c r="U499" s="30">
        <v>242.01812575249465</v>
      </c>
      <c r="V499" s="30">
        <v>78.518047895437235</v>
      </c>
      <c r="W499" s="30">
        <v>96.213198636449306</v>
      </c>
      <c r="X499" s="30">
        <v>0</v>
      </c>
    </row>
    <row r="500" spans="10:24" x14ac:dyDescent="0.25">
      <c r="J500">
        <v>492</v>
      </c>
      <c r="K500" s="30">
        <v>3878.9797244226402</v>
      </c>
      <c r="L500" s="30">
        <v>2528.1623475810775</v>
      </c>
      <c r="M500" s="30">
        <v>1622.9523178130426</v>
      </c>
      <c r="N500" s="30">
        <v>179.7322554650018</v>
      </c>
      <c r="O500" s="30">
        <v>1828.9838190125984</v>
      </c>
      <c r="P500" s="30">
        <v>-258.70600922465019</v>
      </c>
      <c r="R500">
        <v>492</v>
      </c>
      <c r="S500" s="30">
        <v>227.50419414487175</v>
      </c>
      <c r="T500" s="30">
        <v>316.50846770455667</v>
      </c>
      <c r="U500" s="30">
        <v>83.338864183191617</v>
      </c>
      <c r="V500" s="30">
        <v>0.74737297338867847</v>
      </c>
      <c r="W500" s="30">
        <v>0</v>
      </c>
      <c r="X500" s="30">
        <v>0</v>
      </c>
    </row>
    <row r="501" spans="10:24" x14ac:dyDescent="0.25">
      <c r="J501">
        <v>493</v>
      </c>
      <c r="K501" s="30">
        <v>4025.5724315742868</v>
      </c>
      <c r="L501" s="30">
        <v>3983.5870474724743</v>
      </c>
      <c r="M501" s="30">
        <v>3985.0108041209028</v>
      </c>
      <c r="N501" s="30">
        <v>1836.6937101237054</v>
      </c>
      <c r="O501" s="30">
        <v>2404.6122468092053</v>
      </c>
      <c r="P501" s="30">
        <v>-984.45929438068106</v>
      </c>
      <c r="R501">
        <v>493</v>
      </c>
      <c r="S501" s="30">
        <v>166.2145026775479</v>
      </c>
      <c r="T501" s="30">
        <v>268.38655187513478</v>
      </c>
      <c r="U501" s="30">
        <v>292.43123822654184</v>
      </c>
      <c r="V501" s="30">
        <v>0</v>
      </c>
      <c r="W501" s="30">
        <v>30.467349879294261</v>
      </c>
      <c r="X501" s="30">
        <v>0</v>
      </c>
    </row>
    <row r="502" spans="10:24" x14ac:dyDescent="0.25">
      <c r="J502">
        <v>494</v>
      </c>
      <c r="K502" s="30">
        <v>3185.0042510657313</v>
      </c>
      <c r="L502" s="30">
        <v>2804.1670805266685</v>
      </c>
      <c r="M502" s="30">
        <v>2019.5593226595829</v>
      </c>
      <c r="N502" s="30">
        <v>3592.3306818726342</v>
      </c>
      <c r="O502" s="30">
        <v>1835.5001258670754</v>
      </c>
      <c r="P502" s="30">
        <v>392.24913399707111</v>
      </c>
      <c r="R502">
        <v>494</v>
      </c>
      <c r="S502" s="30">
        <v>152.86173643904164</v>
      </c>
      <c r="T502" s="30">
        <v>359.79400883841822</v>
      </c>
      <c r="U502" s="30">
        <v>59.808040470818469</v>
      </c>
      <c r="V502" s="30">
        <v>0</v>
      </c>
      <c r="W502" s="30">
        <v>0</v>
      </c>
      <c r="X502" s="30">
        <v>0</v>
      </c>
    </row>
    <row r="503" spans="10:24" x14ac:dyDescent="0.25">
      <c r="J503">
        <v>495</v>
      </c>
      <c r="K503" s="30">
        <v>3472.2129640292719</v>
      </c>
      <c r="L503" s="30">
        <v>3159.3982758347447</v>
      </c>
      <c r="M503" s="30">
        <v>2953.6621362251872</v>
      </c>
      <c r="N503" s="30">
        <v>-1262.383717980857</v>
      </c>
      <c r="O503" s="30">
        <v>31.863454379549694</v>
      </c>
      <c r="P503" s="30">
        <v>-1808.9001573508313</v>
      </c>
      <c r="R503">
        <v>495</v>
      </c>
      <c r="S503" s="30">
        <v>265.96219016425442</v>
      </c>
      <c r="T503" s="30">
        <v>314.99457944962711</v>
      </c>
      <c r="U503" s="30">
        <v>66.671970208060884</v>
      </c>
      <c r="V503" s="30">
        <v>0</v>
      </c>
      <c r="W503" s="30">
        <v>0</v>
      </c>
      <c r="X503" s="30">
        <v>0</v>
      </c>
    </row>
    <row r="504" spans="10:24" x14ac:dyDescent="0.25">
      <c r="J504">
        <v>496</v>
      </c>
      <c r="K504" s="30">
        <v>3485.7669063564222</v>
      </c>
      <c r="L504" s="30">
        <v>3344.4009207559034</v>
      </c>
      <c r="M504" s="30">
        <v>2038.4249698925132</v>
      </c>
      <c r="N504" s="30">
        <v>38.37801028994636</v>
      </c>
      <c r="O504" s="30">
        <v>1022.3201323351459</v>
      </c>
      <c r="P504" s="30">
        <v>-1023.6649331118178</v>
      </c>
      <c r="R504">
        <v>496</v>
      </c>
      <c r="S504" s="30">
        <v>245.18891346363563</v>
      </c>
      <c r="T504" s="30">
        <v>285.96251027346261</v>
      </c>
      <c r="U504" s="30">
        <v>47.853030721176538</v>
      </c>
      <c r="V504" s="30">
        <v>0</v>
      </c>
      <c r="W504" s="30">
        <v>104.17116345035652</v>
      </c>
      <c r="X504" s="30">
        <v>0</v>
      </c>
    </row>
    <row r="505" spans="10:24" x14ac:dyDescent="0.25">
      <c r="J505">
        <v>497</v>
      </c>
      <c r="K505" s="30">
        <v>2935.0811690675901</v>
      </c>
      <c r="L505" s="30">
        <v>2285.1770592111134</v>
      </c>
      <c r="M505" s="30">
        <v>2338.8415256926496</v>
      </c>
      <c r="N505" s="30">
        <v>1849.1918015279889</v>
      </c>
      <c r="O505" s="30">
        <v>2362.8799943660561</v>
      </c>
      <c r="P505" s="30">
        <v>-2715.1516058642292</v>
      </c>
      <c r="R505">
        <v>497</v>
      </c>
      <c r="S505" s="30">
        <v>355.13084658495364</v>
      </c>
      <c r="T505" s="30">
        <v>309.20700725686225</v>
      </c>
      <c r="U505" s="30">
        <v>176.74110340082939</v>
      </c>
      <c r="V505" s="30">
        <v>0</v>
      </c>
      <c r="W505" s="30">
        <v>0</v>
      </c>
      <c r="X505" s="30">
        <v>0</v>
      </c>
    </row>
    <row r="506" spans="10:24" x14ac:dyDescent="0.25">
      <c r="J506">
        <v>498</v>
      </c>
      <c r="K506" s="30">
        <v>2362.1759120899687</v>
      </c>
      <c r="L506" s="30">
        <v>3585.4509635916229</v>
      </c>
      <c r="M506" s="30">
        <v>2909.4440013604121</v>
      </c>
      <c r="N506" s="30">
        <v>596.44890057390512</v>
      </c>
      <c r="O506" s="30">
        <v>2551.1242944576716</v>
      </c>
      <c r="P506" s="30">
        <v>-1875.979444063124</v>
      </c>
      <c r="R506">
        <v>498</v>
      </c>
      <c r="S506" s="30">
        <v>230.37846414372672</v>
      </c>
      <c r="T506" s="30">
        <v>268.7395489093177</v>
      </c>
      <c r="U506" s="30">
        <v>152.19077912956453</v>
      </c>
      <c r="V506" s="30">
        <v>0</v>
      </c>
      <c r="W506" s="30">
        <v>0</v>
      </c>
      <c r="X506" s="30">
        <v>0</v>
      </c>
    </row>
    <row r="507" spans="10:24" x14ac:dyDescent="0.25">
      <c r="J507">
        <v>499</v>
      </c>
      <c r="K507" s="30">
        <v>3933.8996244163386</v>
      </c>
      <c r="L507" s="30">
        <v>1961.6534605187471</v>
      </c>
      <c r="M507" s="30">
        <v>3001.6450041909206</v>
      </c>
      <c r="N507" s="30">
        <v>-3516.6313280079366</v>
      </c>
      <c r="O507" s="30">
        <v>2279.7744636519365</v>
      </c>
      <c r="P507" s="30">
        <v>155.46642074551164</v>
      </c>
      <c r="R507">
        <v>499</v>
      </c>
      <c r="S507" s="30">
        <v>263.21202048230242</v>
      </c>
      <c r="T507" s="30">
        <v>307.34276897656179</v>
      </c>
      <c r="U507" s="30">
        <v>176.06621509262851</v>
      </c>
      <c r="V507" s="30">
        <v>0</v>
      </c>
      <c r="W507" s="30">
        <v>0</v>
      </c>
      <c r="X507" s="30">
        <v>0</v>
      </c>
    </row>
    <row r="508" spans="10:24" x14ac:dyDescent="0.25">
      <c r="J508">
        <v>500</v>
      </c>
      <c r="K508" s="30">
        <v>3667.6730967879939</v>
      </c>
      <c r="L508" s="30">
        <v>3050.0694116422233</v>
      </c>
      <c r="M508" s="30">
        <v>1708.1183616539629</v>
      </c>
      <c r="N508" s="30">
        <v>-175.66894866232087</v>
      </c>
      <c r="O508" s="30">
        <v>2169.5439678946932</v>
      </c>
      <c r="P508" s="30">
        <v>-2555.8181698458429</v>
      </c>
      <c r="R508">
        <v>500</v>
      </c>
      <c r="S508" s="30">
        <v>177.0418811158475</v>
      </c>
      <c r="T508" s="30">
        <v>372.07365847081979</v>
      </c>
      <c r="U508" s="30">
        <v>62.194218548338426</v>
      </c>
      <c r="V508" s="30">
        <v>0</v>
      </c>
      <c r="W508" s="30">
        <v>0</v>
      </c>
      <c r="X508" s="30">
        <v>0</v>
      </c>
    </row>
    <row r="509" spans="10:24" x14ac:dyDescent="0.25">
      <c r="J509">
        <v>501</v>
      </c>
      <c r="K509" s="30">
        <v>4014.2394668950592</v>
      </c>
      <c r="L509" s="30">
        <v>2765.5014613567178</v>
      </c>
      <c r="M509" s="30">
        <v>3462.2136470028254</v>
      </c>
      <c r="N509" s="30">
        <v>1198.818393845615</v>
      </c>
      <c r="O509" s="30">
        <v>2025.3312281357248</v>
      </c>
      <c r="P509" s="30">
        <v>-1315.2280389622138</v>
      </c>
      <c r="R509">
        <v>501</v>
      </c>
      <c r="S509" s="30">
        <v>317.97709846460964</v>
      </c>
      <c r="T509" s="30">
        <v>231.53124143625843</v>
      </c>
      <c r="U509" s="30">
        <v>174.2107722115033</v>
      </c>
      <c r="V509" s="30">
        <v>166.60373493450328</v>
      </c>
      <c r="W509" s="30">
        <v>0</v>
      </c>
      <c r="X509" s="30">
        <v>0.66788799873211246</v>
      </c>
    </row>
    <row r="510" spans="10:24" x14ac:dyDescent="0.25">
      <c r="J510">
        <v>502</v>
      </c>
      <c r="K510" s="30">
        <v>2385.9274580247829</v>
      </c>
      <c r="L510" s="30">
        <v>2588.0416253197218</v>
      </c>
      <c r="M510" s="30">
        <v>2278.6101208705222</v>
      </c>
      <c r="N510" s="30">
        <v>331.22310784808724</v>
      </c>
      <c r="O510" s="30">
        <v>1466.3114069186731</v>
      </c>
      <c r="P510" s="30">
        <v>233.03640801567872</v>
      </c>
      <c r="R510">
        <v>502</v>
      </c>
      <c r="S510" s="30">
        <v>186.8005644073898</v>
      </c>
      <c r="T510" s="30">
        <v>335.01173247926215</v>
      </c>
      <c r="U510" s="30">
        <v>119.64006510139706</v>
      </c>
      <c r="V510" s="30">
        <v>0</v>
      </c>
      <c r="W510" s="30">
        <v>152.72043870149741</v>
      </c>
      <c r="X510" s="30">
        <v>0</v>
      </c>
    </row>
    <row r="511" spans="10:24" x14ac:dyDescent="0.25">
      <c r="J511">
        <v>503</v>
      </c>
      <c r="K511" s="30">
        <v>3045.611060139383</v>
      </c>
      <c r="L511" s="30">
        <v>2317.490506245892</v>
      </c>
      <c r="M511" s="30">
        <v>2336.3813694660976</v>
      </c>
      <c r="N511" s="30">
        <v>477.58662921582618</v>
      </c>
      <c r="O511" s="30">
        <v>883.52890490365553</v>
      </c>
      <c r="P511" s="30">
        <v>-1307.1206512570916</v>
      </c>
      <c r="R511">
        <v>503</v>
      </c>
      <c r="S511" s="30">
        <v>303.97952958871969</v>
      </c>
      <c r="T511" s="30">
        <v>207.12255309069525</v>
      </c>
      <c r="U511" s="30">
        <v>94.530140504935446</v>
      </c>
      <c r="V511" s="30">
        <v>0</v>
      </c>
      <c r="W511" s="30">
        <v>1.533590733771689</v>
      </c>
      <c r="X511" s="30">
        <v>0</v>
      </c>
    </row>
    <row r="512" spans="10:24" x14ac:dyDescent="0.25">
      <c r="J512">
        <v>504</v>
      </c>
      <c r="K512" s="30">
        <v>4091.7529629538058</v>
      </c>
      <c r="L512" s="30">
        <v>4138.3347836643716</v>
      </c>
      <c r="M512" s="30">
        <v>2202.2613991023718</v>
      </c>
      <c r="N512" s="30">
        <v>2414.2875267818999</v>
      </c>
      <c r="O512" s="30">
        <v>634.41113409837635</v>
      </c>
      <c r="P512" s="30">
        <v>51.139725516571161</v>
      </c>
      <c r="R512">
        <v>504</v>
      </c>
      <c r="S512" s="30">
        <v>333.34904068071717</v>
      </c>
      <c r="T512" s="30">
        <v>232.36520192430027</v>
      </c>
      <c r="U512" s="30">
        <v>179.4026113176202</v>
      </c>
      <c r="V512" s="30">
        <v>15.552713661237021</v>
      </c>
      <c r="W512" s="30">
        <v>64.349611608311022</v>
      </c>
      <c r="X512" s="30">
        <v>0</v>
      </c>
    </row>
    <row r="513" spans="10:24" x14ac:dyDescent="0.25">
      <c r="J513">
        <v>505</v>
      </c>
      <c r="K513" s="30">
        <v>3700.4158752958774</v>
      </c>
      <c r="L513" s="30">
        <v>4040.1689148706464</v>
      </c>
      <c r="M513" s="30">
        <v>3161.0974987981026</v>
      </c>
      <c r="N513" s="30">
        <v>-398.04558489054034</v>
      </c>
      <c r="O513" s="30">
        <v>651.00754430782854</v>
      </c>
      <c r="P513" s="30">
        <v>21.11556137903608</v>
      </c>
      <c r="R513">
        <v>505</v>
      </c>
      <c r="S513" s="30">
        <v>198.9483335406951</v>
      </c>
      <c r="T513" s="30">
        <v>358.3242031768051</v>
      </c>
      <c r="U513" s="30">
        <v>220.54083566782623</v>
      </c>
      <c r="V513" s="30">
        <v>0</v>
      </c>
      <c r="W513" s="30">
        <v>0</v>
      </c>
      <c r="X513" s="30">
        <v>0</v>
      </c>
    </row>
    <row r="514" spans="10:24" x14ac:dyDescent="0.25">
      <c r="J514">
        <v>506</v>
      </c>
      <c r="K514" s="30">
        <v>3692.0259826517809</v>
      </c>
      <c r="L514" s="30">
        <v>3572.0249607040664</v>
      </c>
      <c r="M514" s="30">
        <v>2507.9620689986359</v>
      </c>
      <c r="N514" s="30">
        <v>-1011.241932007787</v>
      </c>
      <c r="O514" s="30">
        <v>-87.238618085313647</v>
      </c>
      <c r="P514" s="30">
        <v>-83.796108466757687</v>
      </c>
      <c r="R514">
        <v>506</v>
      </c>
      <c r="S514" s="30">
        <v>218.99835950816197</v>
      </c>
      <c r="T514" s="30">
        <v>130.31586359697491</v>
      </c>
      <c r="U514" s="30">
        <v>89.539214337214673</v>
      </c>
      <c r="V514" s="30">
        <v>0</v>
      </c>
      <c r="W514" s="30">
        <v>0</v>
      </c>
      <c r="X514" s="30">
        <v>0</v>
      </c>
    </row>
    <row r="515" spans="10:24" x14ac:dyDescent="0.25">
      <c r="J515">
        <v>507</v>
      </c>
      <c r="K515" s="30">
        <v>3002.4242853687292</v>
      </c>
      <c r="L515" s="30">
        <v>4327.9136255660969</v>
      </c>
      <c r="M515" s="30">
        <v>3562.0544142439335</v>
      </c>
      <c r="N515" s="30">
        <v>-893.31135456141601</v>
      </c>
      <c r="O515" s="30">
        <v>2442.980012081357</v>
      </c>
      <c r="P515" s="30">
        <v>67.521654742523424</v>
      </c>
      <c r="R515">
        <v>507</v>
      </c>
      <c r="S515" s="30">
        <v>218.20199788816302</v>
      </c>
      <c r="T515" s="30">
        <v>303.03861984962026</v>
      </c>
      <c r="U515" s="30">
        <v>88.935682166363506</v>
      </c>
      <c r="V515" s="30">
        <v>0</v>
      </c>
      <c r="W515" s="30">
        <v>0</v>
      </c>
      <c r="X515" s="30">
        <v>0</v>
      </c>
    </row>
    <row r="516" spans="10:24" x14ac:dyDescent="0.25">
      <c r="J516">
        <v>508</v>
      </c>
      <c r="K516" s="30">
        <v>3114.8137745869535</v>
      </c>
      <c r="L516" s="30">
        <v>3007.1389585860052</v>
      </c>
      <c r="M516" s="30">
        <v>1603.3840640943508</v>
      </c>
      <c r="N516" s="30">
        <v>1535.443051136358</v>
      </c>
      <c r="O516" s="30">
        <v>-114.05077679425995</v>
      </c>
      <c r="P516" s="30">
        <v>-5.7249097200674441</v>
      </c>
      <c r="R516">
        <v>508</v>
      </c>
      <c r="S516" s="30">
        <v>333.21736555798662</v>
      </c>
      <c r="T516" s="30">
        <v>362.71566732283924</v>
      </c>
      <c r="U516" s="30">
        <v>106.99181985928834</v>
      </c>
      <c r="V516" s="30">
        <v>0</v>
      </c>
      <c r="W516" s="30">
        <v>31.903955472796952</v>
      </c>
      <c r="X516" s="30">
        <v>0</v>
      </c>
    </row>
    <row r="517" spans="10:24" x14ac:dyDescent="0.25">
      <c r="J517">
        <v>509</v>
      </c>
      <c r="K517" s="30">
        <v>4056.1186185165211</v>
      </c>
      <c r="L517" s="30">
        <v>2973.316552942626</v>
      </c>
      <c r="M517" s="30">
        <v>2383.544471671773</v>
      </c>
      <c r="N517" s="30">
        <v>1460.5308575502422</v>
      </c>
      <c r="O517" s="30">
        <v>3187.2436601516602</v>
      </c>
      <c r="P517" s="30">
        <v>-1629.0390361975797</v>
      </c>
      <c r="R517">
        <v>509</v>
      </c>
      <c r="S517" s="30">
        <v>244.521055544418</v>
      </c>
      <c r="T517" s="30">
        <v>315.61241656515114</v>
      </c>
      <c r="U517" s="30">
        <v>116.49956966152405</v>
      </c>
      <c r="V517" s="30">
        <v>59.982123281124018</v>
      </c>
      <c r="W517" s="30">
        <v>97.08376019819957</v>
      </c>
      <c r="X517" s="30">
        <v>0</v>
      </c>
    </row>
    <row r="518" spans="10:24" x14ac:dyDescent="0.25">
      <c r="J518">
        <v>510</v>
      </c>
      <c r="K518" s="30">
        <v>2644.4365540222607</v>
      </c>
      <c r="L518" s="30">
        <v>2879.3758750944116</v>
      </c>
      <c r="M518" s="30">
        <v>2999.4816396800379</v>
      </c>
      <c r="N518" s="30">
        <v>2056.3038232397812</v>
      </c>
      <c r="O518" s="30">
        <v>1259.2557663968073</v>
      </c>
      <c r="P518" s="30">
        <v>97.157313662315573</v>
      </c>
      <c r="R518">
        <v>510</v>
      </c>
      <c r="S518" s="30">
        <v>229.67067236654884</v>
      </c>
      <c r="T518" s="30">
        <v>334.36119378792409</v>
      </c>
      <c r="U518" s="30">
        <v>139.17262415014579</v>
      </c>
      <c r="V518" s="30">
        <v>0</v>
      </c>
      <c r="W518" s="30">
        <v>68.370085075513089</v>
      </c>
      <c r="X518" s="30">
        <v>0</v>
      </c>
    </row>
    <row r="519" spans="10:24" x14ac:dyDescent="0.25">
      <c r="J519">
        <v>511</v>
      </c>
      <c r="K519" s="30">
        <v>2673.7854161553223</v>
      </c>
      <c r="L519" s="30">
        <v>3776.8648003579647</v>
      </c>
      <c r="M519" s="30">
        <v>1875.8335350771235</v>
      </c>
      <c r="N519" s="30">
        <v>1926.5198218912519</v>
      </c>
      <c r="O519" s="30">
        <v>953.32523191431574</v>
      </c>
      <c r="P519" s="30">
        <v>-191.70230914911463</v>
      </c>
      <c r="R519">
        <v>511</v>
      </c>
      <c r="S519" s="30">
        <v>291.66317356098989</v>
      </c>
      <c r="T519" s="30">
        <v>284.57074449003602</v>
      </c>
      <c r="U519" s="30">
        <v>99.561666603543813</v>
      </c>
      <c r="V519" s="30">
        <v>14.85309120533293</v>
      </c>
      <c r="W519" s="30">
        <v>97.307050230184132</v>
      </c>
      <c r="X519" s="30">
        <v>0</v>
      </c>
    </row>
    <row r="520" spans="10:24" x14ac:dyDescent="0.25">
      <c r="J520">
        <v>512</v>
      </c>
      <c r="K520" s="30">
        <v>2794.6777644928943</v>
      </c>
      <c r="L520" s="30">
        <v>2586.880882844082</v>
      </c>
      <c r="M520" s="30">
        <v>2332.8752430810018</v>
      </c>
      <c r="N520" s="30">
        <v>832.62416181541357</v>
      </c>
      <c r="O520" s="30">
        <v>2311.8831229268362</v>
      </c>
      <c r="P520" s="30">
        <v>-1491.8189978087867</v>
      </c>
      <c r="R520">
        <v>512</v>
      </c>
      <c r="S520" s="30">
        <v>193.94151414872232</v>
      </c>
      <c r="T520" s="30">
        <v>269.27046435335171</v>
      </c>
      <c r="U520" s="30">
        <v>171.61203432360668</v>
      </c>
      <c r="V520" s="30">
        <v>68.727445068790871</v>
      </c>
      <c r="W520" s="30">
        <v>0</v>
      </c>
      <c r="X520" s="30">
        <v>0</v>
      </c>
    </row>
    <row r="521" spans="10:24" x14ac:dyDescent="0.25">
      <c r="J521">
        <v>513</v>
      </c>
      <c r="K521" s="30">
        <v>3775.3138216350794</v>
      </c>
      <c r="L521" s="30">
        <v>3538.1035260488998</v>
      </c>
      <c r="M521" s="30">
        <v>2495.3736538384228</v>
      </c>
      <c r="N521" s="30">
        <v>1335.7283853404106</v>
      </c>
      <c r="O521" s="30">
        <v>2067.5726079960814</v>
      </c>
      <c r="P521" s="30">
        <v>78.593781940008739</v>
      </c>
      <c r="R521">
        <v>513</v>
      </c>
      <c r="S521" s="30">
        <v>205.94522806936692</v>
      </c>
      <c r="T521" s="30">
        <v>188.4367805527728</v>
      </c>
      <c r="U521" s="30">
        <v>181.27105944104107</v>
      </c>
      <c r="V521" s="30">
        <v>0</v>
      </c>
      <c r="W521" s="30">
        <v>185.40800406969436</v>
      </c>
      <c r="X521" s="30">
        <v>0</v>
      </c>
    </row>
    <row r="522" spans="10:24" x14ac:dyDescent="0.25">
      <c r="J522">
        <v>514</v>
      </c>
      <c r="K522" s="30">
        <v>2533.8781678538439</v>
      </c>
      <c r="L522" s="30">
        <v>2633.10780603189</v>
      </c>
      <c r="M522" s="30">
        <v>1956.8078007697945</v>
      </c>
      <c r="N522" s="30">
        <v>2998.4916548306355</v>
      </c>
      <c r="O522" s="30">
        <v>-362.7321539706918</v>
      </c>
      <c r="P522" s="30">
        <v>-3346.6678838950147</v>
      </c>
      <c r="R522">
        <v>514</v>
      </c>
      <c r="S522" s="30">
        <v>252.03948611994258</v>
      </c>
      <c r="T522" s="30">
        <v>247.69142957105987</v>
      </c>
      <c r="U522" s="30">
        <v>206.62614635472801</v>
      </c>
      <c r="V522" s="30">
        <v>150.86747947191321</v>
      </c>
      <c r="W522" s="30">
        <v>216.89185672987264</v>
      </c>
      <c r="X522" s="30">
        <v>0</v>
      </c>
    </row>
    <row r="523" spans="10:24" x14ac:dyDescent="0.25">
      <c r="J523">
        <v>515</v>
      </c>
      <c r="K523" s="30">
        <v>2845.2283451356457</v>
      </c>
      <c r="L523" s="30">
        <v>3144.4784464240047</v>
      </c>
      <c r="M523" s="30">
        <v>2216.288571223402</v>
      </c>
      <c r="N523" s="30">
        <v>536.48446641883311</v>
      </c>
      <c r="O523" s="30">
        <v>2179.4746901924154</v>
      </c>
      <c r="P523" s="30">
        <v>-2859.9067923036246</v>
      </c>
      <c r="R523">
        <v>515</v>
      </c>
      <c r="S523" s="30">
        <v>459.62703876188675</v>
      </c>
      <c r="T523" s="30">
        <v>336.39357278316101</v>
      </c>
      <c r="U523" s="30">
        <v>216.69871648677338</v>
      </c>
      <c r="V523" s="30">
        <v>0</v>
      </c>
      <c r="W523" s="30">
        <v>0</v>
      </c>
      <c r="X523" s="30">
        <v>0</v>
      </c>
    </row>
    <row r="524" spans="10:24" x14ac:dyDescent="0.25">
      <c r="J524">
        <v>516</v>
      </c>
      <c r="K524" s="30">
        <v>2865.4900214007089</v>
      </c>
      <c r="L524" s="30">
        <v>2669.7205626229297</v>
      </c>
      <c r="M524" s="30">
        <v>2252.0528085230026</v>
      </c>
      <c r="N524" s="30">
        <v>-859.45892993100279</v>
      </c>
      <c r="O524" s="30">
        <v>69.829821220669146</v>
      </c>
      <c r="P524" s="30">
        <v>-652.63284662955721</v>
      </c>
      <c r="R524">
        <v>516</v>
      </c>
      <c r="S524" s="30">
        <v>245.37356288597033</v>
      </c>
      <c r="T524" s="30">
        <v>384.20717053350597</v>
      </c>
      <c r="U524" s="30">
        <v>259.14686544671264</v>
      </c>
      <c r="V524" s="30">
        <v>0</v>
      </c>
      <c r="W524" s="30">
        <v>81.553613762649775</v>
      </c>
      <c r="X524" s="30">
        <v>0</v>
      </c>
    </row>
    <row r="525" spans="10:24" x14ac:dyDescent="0.25">
      <c r="J525">
        <v>517</v>
      </c>
      <c r="K525" s="30">
        <v>3578.3637163999765</v>
      </c>
      <c r="L525" s="30">
        <v>3950.3594770204722</v>
      </c>
      <c r="M525" s="30">
        <v>2505.4284113782933</v>
      </c>
      <c r="N525" s="30">
        <v>519.80048896490916</v>
      </c>
      <c r="O525" s="30">
        <v>717.68344697187513</v>
      </c>
      <c r="P525" s="30">
        <v>-2302.791963888797</v>
      </c>
      <c r="R525">
        <v>517</v>
      </c>
      <c r="S525" s="30">
        <v>217.82268850262892</v>
      </c>
      <c r="T525" s="30">
        <v>261.68923265664557</v>
      </c>
      <c r="U525" s="30">
        <v>154.38158961723229</v>
      </c>
      <c r="V525" s="30">
        <v>17.612340962460053</v>
      </c>
      <c r="W525" s="30">
        <v>0</v>
      </c>
      <c r="X525" s="30">
        <v>0</v>
      </c>
    </row>
    <row r="526" spans="10:24" x14ac:dyDescent="0.25">
      <c r="J526">
        <v>518</v>
      </c>
      <c r="K526" s="30">
        <v>2328.2155876281558</v>
      </c>
      <c r="L526" s="30">
        <v>3395.0656292326476</v>
      </c>
      <c r="M526" s="30">
        <v>1693.1406557142618</v>
      </c>
      <c r="N526" s="30">
        <v>244.27818934022707</v>
      </c>
      <c r="O526" s="30">
        <v>638.66190444581571</v>
      </c>
      <c r="P526" s="30">
        <v>-2220.5735399628429</v>
      </c>
      <c r="R526">
        <v>518</v>
      </c>
      <c r="S526" s="30">
        <v>362.64713906773449</v>
      </c>
      <c r="T526" s="30">
        <v>310.79808076281097</v>
      </c>
      <c r="U526" s="30">
        <v>116.51901425052426</v>
      </c>
      <c r="V526" s="30">
        <v>44.261808777537226</v>
      </c>
      <c r="W526" s="30">
        <v>0</v>
      </c>
      <c r="X526" s="30">
        <v>0</v>
      </c>
    </row>
    <row r="527" spans="10:24" x14ac:dyDescent="0.25">
      <c r="J527">
        <v>519</v>
      </c>
      <c r="K527" s="30">
        <v>3100.0417837224195</v>
      </c>
      <c r="L527" s="30">
        <v>2400.1831523500077</v>
      </c>
      <c r="M527" s="30">
        <v>3751.6358182476069</v>
      </c>
      <c r="N527" s="30">
        <v>1257.7316856276202</v>
      </c>
      <c r="O527" s="30">
        <v>1010.5020570937322</v>
      </c>
      <c r="P527" s="30">
        <v>-928.54389653215912</v>
      </c>
      <c r="R527">
        <v>519</v>
      </c>
      <c r="S527" s="30">
        <v>209.86506969013652</v>
      </c>
      <c r="T527" s="30">
        <v>351.28210941033774</v>
      </c>
      <c r="U527" s="30">
        <v>152.28409926458824</v>
      </c>
      <c r="V527" s="30">
        <v>0</v>
      </c>
      <c r="W527" s="30">
        <v>0</v>
      </c>
      <c r="X527" s="30">
        <v>0</v>
      </c>
    </row>
    <row r="528" spans="10:24" x14ac:dyDescent="0.25">
      <c r="J528">
        <v>520</v>
      </c>
      <c r="K528" s="30">
        <v>3068.4793372501986</v>
      </c>
      <c r="L528" s="30">
        <v>2666.3084753050962</v>
      </c>
      <c r="M528" s="30">
        <v>2277.1428457949828</v>
      </c>
      <c r="N528" s="30">
        <v>67.405097829750048</v>
      </c>
      <c r="O528" s="30">
        <v>3303.9871210705132</v>
      </c>
      <c r="P528" s="30">
        <v>-2032.2496300702023</v>
      </c>
      <c r="R528">
        <v>520</v>
      </c>
      <c r="S528" s="30">
        <v>225.14119701398215</v>
      </c>
      <c r="T528" s="30">
        <v>245.75236030022114</v>
      </c>
      <c r="U528" s="30">
        <v>217.74044875598923</v>
      </c>
      <c r="V528" s="30">
        <v>142.4500082617418</v>
      </c>
      <c r="W528" s="30">
        <v>50.573775231662694</v>
      </c>
      <c r="X528" s="30">
        <v>0</v>
      </c>
    </row>
    <row r="529" spans="10:24" x14ac:dyDescent="0.25">
      <c r="J529">
        <v>521</v>
      </c>
      <c r="K529" s="30">
        <v>2893.4903749472596</v>
      </c>
      <c r="L529" s="30">
        <v>2872.9567736079739</v>
      </c>
      <c r="M529" s="30">
        <v>3693.0227772327535</v>
      </c>
      <c r="N529" s="30">
        <v>1245.8474921899751</v>
      </c>
      <c r="O529" s="30">
        <v>435.74364077976134</v>
      </c>
      <c r="P529" s="30">
        <v>-342.57082235659527</v>
      </c>
      <c r="R529">
        <v>521</v>
      </c>
      <c r="S529" s="30">
        <v>256.26885626938872</v>
      </c>
      <c r="T529" s="30">
        <v>272.17864152683018</v>
      </c>
      <c r="U529" s="30">
        <v>209.56158553107554</v>
      </c>
      <c r="V529" s="30">
        <v>0</v>
      </c>
      <c r="W529" s="30">
        <v>0</v>
      </c>
      <c r="X529" s="30">
        <v>0</v>
      </c>
    </row>
    <row r="530" spans="10:24" x14ac:dyDescent="0.25">
      <c r="J530">
        <v>522</v>
      </c>
      <c r="K530" s="30">
        <v>2702.2283720637033</v>
      </c>
      <c r="L530" s="30">
        <v>2176.7499799474076</v>
      </c>
      <c r="M530" s="30">
        <v>2150.5730776606952</v>
      </c>
      <c r="N530" s="30">
        <v>1018.336221518889</v>
      </c>
      <c r="O530" s="30">
        <v>1478.8112444594044</v>
      </c>
      <c r="P530" s="30">
        <v>-610.48956226683185</v>
      </c>
      <c r="R530">
        <v>522</v>
      </c>
      <c r="S530" s="30">
        <v>213.24512569819746</v>
      </c>
      <c r="T530" s="30">
        <v>208.88511774241181</v>
      </c>
      <c r="U530" s="30">
        <v>141.9510009709532</v>
      </c>
      <c r="V530" s="30">
        <v>19.86888239799498</v>
      </c>
      <c r="W530" s="30">
        <v>132.93283239613402</v>
      </c>
      <c r="X530" s="30">
        <v>0</v>
      </c>
    </row>
    <row r="531" spans="10:24" x14ac:dyDescent="0.25">
      <c r="J531">
        <v>523</v>
      </c>
      <c r="K531" s="30">
        <v>2309.8936752894165</v>
      </c>
      <c r="L531" s="30">
        <v>3192.1170182350475</v>
      </c>
      <c r="M531" s="30">
        <v>3583.5089090182883</v>
      </c>
      <c r="N531" s="30">
        <v>643.03120967452105</v>
      </c>
      <c r="O531" s="30">
        <v>64.293399833460171</v>
      </c>
      <c r="P531" s="30">
        <v>-45.097653441357579</v>
      </c>
      <c r="R531">
        <v>523</v>
      </c>
      <c r="S531" s="30">
        <v>282.50445287759305</v>
      </c>
      <c r="T531" s="30">
        <v>353.65016495852552</v>
      </c>
      <c r="U531" s="30">
        <v>78.672140976304718</v>
      </c>
      <c r="V531" s="30">
        <v>96.554805616208341</v>
      </c>
      <c r="W531" s="30">
        <v>42.45833779094221</v>
      </c>
      <c r="X531" s="30">
        <v>0</v>
      </c>
    </row>
    <row r="532" spans="10:24" x14ac:dyDescent="0.25">
      <c r="J532">
        <v>524</v>
      </c>
      <c r="K532" s="30">
        <v>2797.4008916007397</v>
      </c>
      <c r="L532" s="30">
        <v>3665.6363749505049</v>
      </c>
      <c r="M532" s="30">
        <v>1608.8480483065555</v>
      </c>
      <c r="N532" s="30">
        <v>1662.6419198960893</v>
      </c>
      <c r="O532" s="30">
        <v>985.73599071682929</v>
      </c>
      <c r="P532" s="30">
        <v>-2721.8522397612587</v>
      </c>
      <c r="R532">
        <v>524</v>
      </c>
      <c r="S532" s="30">
        <v>256.02142835410751</v>
      </c>
      <c r="T532" s="30">
        <v>273.34379857695046</v>
      </c>
      <c r="U532" s="30">
        <v>261.71720519316239</v>
      </c>
      <c r="V532" s="30">
        <v>0</v>
      </c>
      <c r="W532" s="30">
        <v>0</v>
      </c>
      <c r="X532" s="30">
        <v>0</v>
      </c>
    </row>
    <row r="533" spans="10:24" x14ac:dyDescent="0.25">
      <c r="J533">
        <v>525</v>
      </c>
      <c r="K533" s="30">
        <v>2354.073080616954</v>
      </c>
      <c r="L533" s="30">
        <v>2966.1345874314407</v>
      </c>
      <c r="M533" s="30">
        <v>2486.9310530107459</v>
      </c>
      <c r="N533" s="30">
        <v>1418.3942776844005</v>
      </c>
      <c r="O533" s="30">
        <v>1457.1931287363486</v>
      </c>
      <c r="P533" s="30">
        <v>-1732.7701011391773</v>
      </c>
      <c r="R533">
        <v>525</v>
      </c>
      <c r="S533" s="30">
        <v>210.34705518951728</v>
      </c>
      <c r="T533" s="30">
        <v>284.0968503943439</v>
      </c>
      <c r="U533" s="30">
        <v>79.635337191615918</v>
      </c>
      <c r="V533" s="30">
        <v>0</v>
      </c>
      <c r="W533" s="30">
        <v>0</v>
      </c>
      <c r="X533" s="30">
        <v>0</v>
      </c>
    </row>
    <row r="534" spans="10:24" x14ac:dyDescent="0.25">
      <c r="J534">
        <v>526</v>
      </c>
      <c r="K534" s="30">
        <v>2904.9518390737253</v>
      </c>
      <c r="L534" s="30">
        <v>2857.6896884701437</v>
      </c>
      <c r="M534" s="30">
        <v>2005.9176756628522</v>
      </c>
      <c r="N534" s="30">
        <v>-1142.3188375338732</v>
      </c>
      <c r="O534" s="30">
        <v>218.13076796175574</v>
      </c>
      <c r="P534" s="30">
        <v>-77.962508431397509</v>
      </c>
      <c r="R534">
        <v>526</v>
      </c>
      <c r="S534" s="30">
        <v>242.48381981128256</v>
      </c>
      <c r="T534" s="30">
        <v>396.11969567169001</v>
      </c>
      <c r="U534" s="30">
        <v>267.87234484279122</v>
      </c>
      <c r="V534" s="30">
        <v>0</v>
      </c>
      <c r="W534" s="30">
        <v>61.889469619526494</v>
      </c>
      <c r="X534" s="30">
        <v>0</v>
      </c>
    </row>
    <row r="535" spans="10:24" x14ac:dyDescent="0.25">
      <c r="J535">
        <v>527</v>
      </c>
      <c r="K535" s="30">
        <v>2267.3619525393215</v>
      </c>
      <c r="L535" s="30">
        <v>2099.5208953485057</v>
      </c>
      <c r="M535" s="30">
        <v>1927.1954094358912</v>
      </c>
      <c r="N535" s="30">
        <v>-1168.5681478974066</v>
      </c>
      <c r="O535" s="30">
        <v>-586.20739385118213</v>
      </c>
      <c r="P535" s="30">
        <v>-1400.6382540140094</v>
      </c>
      <c r="R535">
        <v>527</v>
      </c>
      <c r="S535" s="30">
        <v>292.33201220587745</v>
      </c>
      <c r="T535" s="30">
        <v>260.32531052315881</v>
      </c>
      <c r="U535" s="30">
        <v>182.48537333632106</v>
      </c>
      <c r="V535" s="30">
        <v>0</v>
      </c>
      <c r="W535" s="30">
        <v>19.614861046298188</v>
      </c>
      <c r="X535" s="30">
        <v>0</v>
      </c>
    </row>
    <row r="536" spans="10:24" x14ac:dyDescent="0.25">
      <c r="J536">
        <v>528</v>
      </c>
      <c r="K536" s="30">
        <v>3519.754036166592</v>
      </c>
      <c r="L536" s="30">
        <v>2799.5338192923164</v>
      </c>
      <c r="M536" s="30">
        <v>1665.8027220798713</v>
      </c>
      <c r="N536" s="30">
        <v>-857.13790448524378</v>
      </c>
      <c r="O536" s="30">
        <v>2670.1937154886882</v>
      </c>
      <c r="P536" s="30">
        <v>448.25670986136629</v>
      </c>
      <c r="R536">
        <v>528</v>
      </c>
      <c r="S536" s="30">
        <v>325.14033518413191</v>
      </c>
      <c r="T536" s="30">
        <v>386.26097478338011</v>
      </c>
      <c r="U536" s="30">
        <v>285.18799072319308</v>
      </c>
      <c r="V536" s="30">
        <v>0</v>
      </c>
      <c r="W536" s="30">
        <v>61.864545730866439</v>
      </c>
      <c r="X536" s="30">
        <v>0</v>
      </c>
    </row>
    <row r="537" spans="10:24" x14ac:dyDescent="0.25">
      <c r="J537">
        <v>529</v>
      </c>
      <c r="K537" s="30">
        <v>3930.0747650516064</v>
      </c>
      <c r="L537" s="30">
        <v>2090.5444726911951</v>
      </c>
      <c r="M537" s="30">
        <v>3399.6866872039982</v>
      </c>
      <c r="N537" s="30">
        <v>726.06977398840172</v>
      </c>
      <c r="O537" s="30">
        <v>3369.3484537413542</v>
      </c>
      <c r="P537" s="30">
        <v>-157.89837219513538</v>
      </c>
      <c r="R537">
        <v>529</v>
      </c>
      <c r="S537" s="30">
        <v>166.56466625010614</v>
      </c>
      <c r="T537" s="30">
        <v>307.31760079706146</v>
      </c>
      <c r="U537" s="30">
        <v>193.70974366436155</v>
      </c>
      <c r="V537" s="30">
        <v>77.355673252957104</v>
      </c>
      <c r="W537" s="30">
        <v>0</v>
      </c>
      <c r="X537" s="30">
        <v>0</v>
      </c>
    </row>
    <row r="538" spans="10:24" x14ac:dyDescent="0.25">
      <c r="J538">
        <v>530</v>
      </c>
      <c r="K538" s="30">
        <v>2605.2988624926002</v>
      </c>
      <c r="L538" s="30">
        <v>4202.3161222743529</v>
      </c>
      <c r="M538" s="30">
        <v>1808.1185349529783</v>
      </c>
      <c r="N538" s="30">
        <v>-219.38162399638895</v>
      </c>
      <c r="O538" s="30">
        <v>678.34921167776429</v>
      </c>
      <c r="P538" s="30">
        <v>-4103.5113148270648</v>
      </c>
      <c r="R538">
        <v>530</v>
      </c>
      <c r="S538" s="30">
        <v>350.43526977096622</v>
      </c>
      <c r="T538" s="30">
        <v>221.96403508221096</v>
      </c>
      <c r="U538" s="30">
        <v>170.39225227400706</v>
      </c>
      <c r="V538" s="30">
        <v>0</v>
      </c>
      <c r="W538" s="30">
        <v>0</v>
      </c>
      <c r="X538" s="30">
        <v>0</v>
      </c>
    </row>
    <row r="539" spans="10:24" x14ac:dyDescent="0.25">
      <c r="J539">
        <v>531</v>
      </c>
      <c r="K539" s="30">
        <v>1870.9849453929892</v>
      </c>
      <c r="L539" s="30">
        <v>3152.072540853786</v>
      </c>
      <c r="M539" s="30">
        <v>3894.9971775604959</v>
      </c>
      <c r="N539" s="30">
        <v>-1790.43057341033</v>
      </c>
      <c r="O539" s="30">
        <v>1138.2674940435536</v>
      </c>
      <c r="P539" s="30">
        <v>-1866.1339160446887</v>
      </c>
      <c r="R539">
        <v>531</v>
      </c>
      <c r="S539" s="30">
        <v>147.75808422877299</v>
      </c>
      <c r="T539" s="30">
        <v>303.67192013285029</v>
      </c>
      <c r="U539" s="30">
        <v>148.99784705912231</v>
      </c>
      <c r="V539" s="30">
        <v>5.7802171456871747</v>
      </c>
      <c r="W539" s="30">
        <v>0</v>
      </c>
      <c r="X539" s="30">
        <v>0</v>
      </c>
    </row>
    <row r="540" spans="10:24" x14ac:dyDescent="0.25">
      <c r="J540">
        <v>532</v>
      </c>
      <c r="K540" s="30">
        <v>4153.5330935340717</v>
      </c>
      <c r="L540" s="30">
        <v>2507.5211659157881</v>
      </c>
      <c r="M540" s="30">
        <v>2724.4465008111392</v>
      </c>
      <c r="N540" s="30">
        <v>-561.88429419574277</v>
      </c>
      <c r="O540" s="30">
        <v>2872.3031193972674</v>
      </c>
      <c r="P540" s="30">
        <v>-433.3931821665501</v>
      </c>
      <c r="R540">
        <v>532</v>
      </c>
      <c r="S540" s="30">
        <v>128.13670525220408</v>
      </c>
      <c r="T540" s="30">
        <v>294.91342663442339</v>
      </c>
      <c r="U540" s="30">
        <v>179.76526463041051</v>
      </c>
      <c r="V540" s="30">
        <v>112.32285869517949</v>
      </c>
      <c r="W540" s="30">
        <v>116.6963762479545</v>
      </c>
      <c r="X540" s="30">
        <v>40.739265049329902</v>
      </c>
    </row>
    <row r="541" spans="10:24" x14ac:dyDescent="0.25">
      <c r="J541">
        <v>533</v>
      </c>
      <c r="K541" s="30">
        <v>2592.8722625996143</v>
      </c>
      <c r="L541" s="30">
        <v>4529.405546787315</v>
      </c>
      <c r="M541" s="30">
        <v>2679.482858823445</v>
      </c>
      <c r="N541" s="30">
        <v>1155.4638357060994</v>
      </c>
      <c r="O541" s="30">
        <v>245.07611165113849</v>
      </c>
      <c r="P541" s="30">
        <v>-983.5422518166888</v>
      </c>
      <c r="R541">
        <v>533</v>
      </c>
      <c r="S541" s="30">
        <v>225.18776811227059</v>
      </c>
      <c r="T541" s="30">
        <v>307.1248617155037</v>
      </c>
      <c r="U541" s="30">
        <v>242.44621311874818</v>
      </c>
      <c r="V541" s="30">
        <v>0</v>
      </c>
      <c r="W541" s="30">
        <v>0</v>
      </c>
      <c r="X541" s="30">
        <v>0</v>
      </c>
    </row>
    <row r="542" spans="10:24" x14ac:dyDescent="0.25">
      <c r="J542">
        <v>534</v>
      </c>
      <c r="K542" s="30">
        <v>2893.2775195126069</v>
      </c>
      <c r="L542" s="30">
        <v>2868.980893474863</v>
      </c>
      <c r="M542" s="30">
        <v>3479.9051925502381</v>
      </c>
      <c r="N542" s="30">
        <v>991.07065013728607</v>
      </c>
      <c r="O542" s="30">
        <v>1093.178550488532</v>
      </c>
      <c r="P542" s="30">
        <v>1325.3807033686453</v>
      </c>
      <c r="R542">
        <v>534</v>
      </c>
      <c r="S542" s="30">
        <v>269.25981397401904</v>
      </c>
      <c r="T542" s="30">
        <v>312.45757421839869</v>
      </c>
      <c r="U542" s="30">
        <v>136.9260788035121</v>
      </c>
      <c r="V542" s="30">
        <v>0</v>
      </c>
      <c r="W542" s="30">
        <v>44.969729437705723</v>
      </c>
      <c r="X542" s="30">
        <v>0</v>
      </c>
    </row>
    <row r="543" spans="10:24" x14ac:dyDescent="0.25">
      <c r="J543">
        <v>535</v>
      </c>
      <c r="K543" s="30">
        <v>4135.9022826817973</v>
      </c>
      <c r="L543" s="30">
        <v>2053.3591605055094</v>
      </c>
      <c r="M543" s="30">
        <v>2473.4726683497065</v>
      </c>
      <c r="N543" s="30">
        <v>107.09657129063999</v>
      </c>
      <c r="O543" s="30">
        <v>1792.0245334360052</v>
      </c>
      <c r="P543" s="30">
        <v>116.41200890825712</v>
      </c>
      <c r="R543">
        <v>535</v>
      </c>
      <c r="S543" s="30">
        <v>172.90479839289509</v>
      </c>
      <c r="T543" s="30">
        <v>208.56065569405882</v>
      </c>
      <c r="U543" s="30">
        <v>293.78466335652786</v>
      </c>
      <c r="V543" s="30">
        <v>0</v>
      </c>
      <c r="W543" s="30">
        <v>0</v>
      </c>
      <c r="X543" s="30">
        <v>0</v>
      </c>
    </row>
    <row r="544" spans="10:24" x14ac:dyDescent="0.25">
      <c r="J544">
        <v>536</v>
      </c>
      <c r="K544" s="30">
        <v>3240.8980619758117</v>
      </c>
      <c r="L544" s="30">
        <v>2196.9404415144718</v>
      </c>
      <c r="M544" s="30">
        <v>3742.2687417128031</v>
      </c>
      <c r="N544" s="30">
        <v>3567.712530568595</v>
      </c>
      <c r="O544" s="30">
        <v>695.70355194531658</v>
      </c>
      <c r="P544" s="30">
        <v>-375.43110574495222</v>
      </c>
      <c r="R544">
        <v>536</v>
      </c>
      <c r="S544" s="30">
        <v>361.95299352618088</v>
      </c>
      <c r="T544" s="30">
        <v>324.14011789850326</v>
      </c>
      <c r="U544" s="30">
        <v>75.68816613489804</v>
      </c>
      <c r="V544" s="30">
        <v>50.064534739696001</v>
      </c>
      <c r="W544" s="30">
        <v>0</v>
      </c>
      <c r="X544" s="30">
        <v>0</v>
      </c>
    </row>
    <row r="545" spans="10:24" x14ac:dyDescent="0.25">
      <c r="J545">
        <v>537</v>
      </c>
      <c r="K545" s="30">
        <v>3811.4717336983849</v>
      </c>
      <c r="L545" s="30">
        <v>2724.1578868312422</v>
      </c>
      <c r="M545" s="30">
        <v>2685.2159316939565</v>
      </c>
      <c r="N545" s="30">
        <v>1893.3078297761385</v>
      </c>
      <c r="O545" s="30">
        <v>165.43290727699605</v>
      </c>
      <c r="P545" s="30">
        <v>2203.2414159011828</v>
      </c>
      <c r="R545">
        <v>537</v>
      </c>
      <c r="S545" s="30">
        <v>276.45921065121183</v>
      </c>
      <c r="T545" s="30">
        <v>339.16367825455541</v>
      </c>
      <c r="U545" s="30">
        <v>180.95979214414143</v>
      </c>
      <c r="V545" s="30">
        <v>122.90665378156473</v>
      </c>
      <c r="W545" s="30">
        <v>0</v>
      </c>
      <c r="X545" s="30">
        <v>0</v>
      </c>
    </row>
    <row r="546" spans="10:24" x14ac:dyDescent="0.25">
      <c r="J546">
        <v>538</v>
      </c>
      <c r="K546" s="30">
        <v>3318.5667161305964</v>
      </c>
      <c r="L546" s="30">
        <v>4017.8990580632731</v>
      </c>
      <c r="M546" s="30">
        <v>627.98842697308464</v>
      </c>
      <c r="N546" s="30">
        <v>-439.58391106344516</v>
      </c>
      <c r="O546" s="30">
        <v>1064.8540601487393</v>
      </c>
      <c r="P546" s="30">
        <v>-698.51686380183583</v>
      </c>
      <c r="R546">
        <v>538</v>
      </c>
      <c r="S546" s="30">
        <v>239.39950223309597</v>
      </c>
      <c r="T546" s="30">
        <v>421.60279711487738</v>
      </c>
      <c r="U546" s="30">
        <v>158.4384711642594</v>
      </c>
      <c r="V546" s="30">
        <v>13.71724280810156</v>
      </c>
      <c r="W546" s="30">
        <v>0</v>
      </c>
      <c r="X546" s="30">
        <v>0</v>
      </c>
    </row>
    <row r="547" spans="10:24" x14ac:dyDescent="0.25">
      <c r="J547">
        <v>539</v>
      </c>
      <c r="K547" s="30">
        <v>2077.9340497741086</v>
      </c>
      <c r="L547" s="30">
        <v>2543.7270181039012</v>
      </c>
      <c r="M547" s="30">
        <v>1949.2773837636323</v>
      </c>
      <c r="N547" s="30">
        <v>529.67290021580357</v>
      </c>
      <c r="O547" s="30">
        <v>3063.3931680426813</v>
      </c>
      <c r="P547" s="30">
        <v>1561.1376176065914</v>
      </c>
      <c r="R547">
        <v>539</v>
      </c>
      <c r="S547" s="30">
        <v>253.09981782908915</v>
      </c>
      <c r="T547" s="30">
        <v>389.25219746938586</v>
      </c>
      <c r="U547" s="30">
        <v>137.60129286942077</v>
      </c>
      <c r="V547" s="30">
        <v>0</v>
      </c>
      <c r="W547" s="30">
        <v>0</v>
      </c>
      <c r="X547" s="30">
        <v>0</v>
      </c>
    </row>
    <row r="548" spans="10:24" x14ac:dyDescent="0.25">
      <c r="J548">
        <v>540</v>
      </c>
      <c r="K548" s="30">
        <v>2454.1704821785406</v>
      </c>
      <c r="L548" s="30">
        <v>2765.0328003223931</v>
      </c>
      <c r="M548" s="30">
        <v>3443.6828500062556</v>
      </c>
      <c r="N548" s="30">
        <v>1423.0524245164725</v>
      </c>
      <c r="O548" s="30">
        <v>1362.078792326347</v>
      </c>
      <c r="P548" s="30">
        <v>348.77263725394732</v>
      </c>
      <c r="R548">
        <v>540</v>
      </c>
      <c r="S548" s="30">
        <v>287.89283952387285</v>
      </c>
      <c r="T548" s="30">
        <v>313.51741483768143</v>
      </c>
      <c r="U548" s="30">
        <v>120.78873828578463</v>
      </c>
      <c r="V548" s="30">
        <v>0</v>
      </c>
      <c r="W548" s="30">
        <v>0</v>
      </c>
      <c r="X548" s="30">
        <v>0</v>
      </c>
    </row>
    <row r="549" spans="10:24" x14ac:dyDescent="0.25">
      <c r="J549">
        <v>541</v>
      </c>
      <c r="K549" s="30">
        <v>2965.2674399548091</v>
      </c>
      <c r="L549" s="30">
        <v>2307.3233330889802</v>
      </c>
      <c r="M549" s="30">
        <v>2204.7798173743836</v>
      </c>
      <c r="N549" s="30">
        <v>-317.0130089462773</v>
      </c>
      <c r="O549" s="30">
        <v>1830.7734862963453</v>
      </c>
      <c r="P549" s="30">
        <v>1714.8580721340186</v>
      </c>
      <c r="R549">
        <v>541</v>
      </c>
      <c r="S549" s="30">
        <v>287.11260420186051</v>
      </c>
      <c r="T549" s="30">
        <v>331.01911628880958</v>
      </c>
      <c r="U549" s="30">
        <v>186.73769049614003</v>
      </c>
      <c r="V549" s="30">
        <v>0</v>
      </c>
      <c r="W549" s="30">
        <v>43.396425327455063</v>
      </c>
      <c r="X549" s="30">
        <v>0</v>
      </c>
    </row>
    <row r="550" spans="10:24" x14ac:dyDescent="0.25">
      <c r="J550">
        <v>542</v>
      </c>
      <c r="K550" s="30">
        <v>3079.9777450560982</v>
      </c>
      <c r="L550" s="30">
        <v>3862.874192905233</v>
      </c>
      <c r="M550" s="30">
        <v>1459.0535216345779</v>
      </c>
      <c r="N550" s="30">
        <v>523.89776629637345</v>
      </c>
      <c r="O550" s="30">
        <v>204.37905494766073</v>
      </c>
      <c r="P550" s="30">
        <v>-1323.1144208768101</v>
      </c>
      <c r="R550">
        <v>542</v>
      </c>
      <c r="S550" s="30">
        <v>224.39314861678383</v>
      </c>
      <c r="T550" s="30">
        <v>346.76599484369149</v>
      </c>
      <c r="U550" s="30">
        <v>235.74021381891401</v>
      </c>
      <c r="V550" s="30">
        <v>0</v>
      </c>
      <c r="W550" s="30">
        <v>116.49517396317879</v>
      </c>
      <c r="X550" s="30">
        <v>0</v>
      </c>
    </row>
    <row r="551" spans="10:24" x14ac:dyDescent="0.25">
      <c r="J551">
        <v>543</v>
      </c>
      <c r="K551" s="30">
        <v>4056.0103754336092</v>
      </c>
      <c r="L551" s="30">
        <v>3940.6286699178354</v>
      </c>
      <c r="M551" s="30">
        <v>2404.5291834878099</v>
      </c>
      <c r="N551" s="30">
        <v>790.94502381903112</v>
      </c>
      <c r="O551" s="30">
        <v>-367.95663829920522</v>
      </c>
      <c r="P551" s="30">
        <v>-1167.6746048686246</v>
      </c>
      <c r="R551">
        <v>543</v>
      </c>
      <c r="S551" s="30">
        <v>349.59154072299464</v>
      </c>
      <c r="T551" s="30">
        <v>235.79860462427575</v>
      </c>
      <c r="U551" s="30">
        <v>85.851516867881685</v>
      </c>
      <c r="V551" s="30">
        <v>0</v>
      </c>
      <c r="W551" s="30">
        <v>0</v>
      </c>
      <c r="X551" s="30">
        <v>0</v>
      </c>
    </row>
    <row r="552" spans="10:24" x14ac:dyDescent="0.25">
      <c r="J552">
        <v>544</v>
      </c>
      <c r="K552" s="30">
        <v>4274.8947034740413</v>
      </c>
      <c r="L552" s="30">
        <v>2520.9556902632003</v>
      </c>
      <c r="M552" s="30">
        <v>3324.1767391123749</v>
      </c>
      <c r="N552" s="30">
        <v>2315.3975827489685</v>
      </c>
      <c r="O552" s="30">
        <v>583.20924688948799</v>
      </c>
      <c r="P552" s="30">
        <v>-1321.6654967590421</v>
      </c>
      <c r="R552">
        <v>544</v>
      </c>
      <c r="S552" s="30">
        <v>270.23579939263323</v>
      </c>
      <c r="T552" s="30">
        <v>318.7763187676855</v>
      </c>
      <c r="U552" s="30">
        <v>199.51332668225416</v>
      </c>
      <c r="V552" s="30">
        <v>0</v>
      </c>
      <c r="W552" s="30">
        <v>0</v>
      </c>
      <c r="X552" s="30">
        <v>0</v>
      </c>
    </row>
    <row r="553" spans="10:24" x14ac:dyDescent="0.25">
      <c r="J553">
        <v>545</v>
      </c>
      <c r="K553" s="30">
        <v>2981.4548577452542</v>
      </c>
      <c r="L553" s="30">
        <v>2209.8565924885793</v>
      </c>
      <c r="M553" s="30">
        <v>3735.6197097882236</v>
      </c>
      <c r="N553" s="30">
        <v>615.29497400268883</v>
      </c>
      <c r="O553" s="30">
        <v>4069.2507171670404</v>
      </c>
      <c r="P553" s="30">
        <v>907.01136702668919</v>
      </c>
      <c r="R553">
        <v>545</v>
      </c>
      <c r="S553" s="30">
        <v>100.70939101860097</v>
      </c>
      <c r="T553" s="30">
        <v>287.66424572448335</v>
      </c>
      <c r="U553" s="30">
        <v>148.16125761484915</v>
      </c>
      <c r="V553" s="30">
        <v>0</v>
      </c>
      <c r="W553" s="30">
        <v>140.98038984842958</v>
      </c>
      <c r="X553" s="30">
        <v>0</v>
      </c>
    </row>
    <row r="554" spans="10:24" x14ac:dyDescent="0.25">
      <c r="J554">
        <v>546</v>
      </c>
      <c r="K554" s="30">
        <v>2645.4492421418377</v>
      </c>
      <c r="L554" s="30">
        <v>2505.6113563913832</v>
      </c>
      <c r="M554" s="30">
        <v>3998.163494527992</v>
      </c>
      <c r="N554" s="30">
        <v>-617.6711690940665</v>
      </c>
      <c r="O554" s="30">
        <v>2257.9572667829125</v>
      </c>
      <c r="P554" s="30">
        <v>-316.31305538452125</v>
      </c>
      <c r="R554">
        <v>546</v>
      </c>
      <c r="S554" s="30">
        <v>340.72690730962307</v>
      </c>
      <c r="T554" s="30">
        <v>320.84343418548877</v>
      </c>
      <c r="U554" s="30">
        <v>214.78008469839148</v>
      </c>
      <c r="V554" s="30">
        <v>0</v>
      </c>
      <c r="W554" s="30">
        <v>83.911864670769717</v>
      </c>
      <c r="X554" s="30">
        <v>0</v>
      </c>
    </row>
    <row r="555" spans="10:24" x14ac:dyDescent="0.25">
      <c r="J555">
        <v>547</v>
      </c>
      <c r="K555" s="30">
        <v>2822.5243615509835</v>
      </c>
      <c r="L555" s="30">
        <v>2456.5297805010136</v>
      </c>
      <c r="M555" s="30">
        <v>3480.388846021227</v>
      </c>
      <c r="N555" s="30">
        <v>270.6986032725581</v>
      </c>
      <c r="O555" s="30">
        <v>1296.0602062980452</v>
      </c>
      <c r="P555" s="30">
        <v>54.193395389548641</v>
      </c>
      <c r="R555">
        <v>547</v>
      </c>
      <c r="S555" s="30">
        <v>239.57199567873863</v>
      </c>
      <c r="T555" s="30">
        <v>271.85654030711777</v>
      </c>
      <c r="U555" s="30">
        <v>240.52543075768153</v>
      </c>
      <c r="V555" s="30">
        <v>0</v>
      </c>
      <c r="W555" s="30">
        <v>65.780232234932669</v>
      </c>
      <c r="X555" s="30">
        <v>0</v>
      </c>
    </row>
    <row r="556" spans="10:24" x14ac:dyDescent="0.25">
      <c r="J556">
        <v>548</v>
      </c>
      <c r="K556" s="30">
        <v>3528.9097767448452</v>
      </c>
      <c r="L556" s="30">
        <v>3945.0291557771529</v>
      </c>
      <c r="M556" s="30">
        <v>2122.0404038278084</v>
      </c>
      <c r="N556" s="30">
        <v>948.06389289179242</v>
      </c>
      <c r="O556" s="30">
        <v>555.86848205420938</v>
      </c>
      <c r="P556" s="30">
        <v>1778.1596036998862</v>
      </c>
      <c r="R556">
        <v>548</v>
      </c>
      <c r="S556" s="30">
        <v>205.94828562714179</v>
      </c>
      <c r="T556" s="30">
        <v>270.26785748762819</v>
      </c>
      <c r="U556" s="30">
        <v>42.030628987973444</v>
      </c>
      <c r="V556" s="30">
        <v>165.98651482849436</v>
      </c>
      <c r="W556" s="30">
        <v>0</v>
      </c>
      <c r="X556" s="30">
        <v>0</v>
      </c>
    </row>
    <row r="557" spans="10:24" x14ac:dyDescent="0.25">
      <c r="J557">
        <v>549</v>
      </c>
      <c r="K557" s="30">
        <v>1909.7169727496766</v>
      </c>
      <c r="L557" s="30">
        <v>3083.3112039579328</v>
      </c>
      <c r="M557" s="30">
        <v>3356.3259084553047</v>
      </c>
      <c r="N557" s="30">
        <v>401.3874168825605</v>
      </c>
      <c r="O557" s="30">
        <v>3405.6930234953315</v>
      </c>
      <c r="P557" s="30">
        <v>-2336.4793315679199</v>
      </c>
      <c r="R557">
        <v>549</v>
      </c>
      <c r="S557" s="30">
        <v>152.29132253502513</v>
      </c>
      <c r="T557" s="30">
        <v>293.1427437710351</v>
      </c>
      <c r="U557" s="30">
        <v>134.43283757485415</v>
      </c>
      <c r="V557" s="30">
        <v>42.240786173659103</v>
      </c>
      <c r="W557" s="30">
        <v>0</v>
      </c>
      <c r="X557" s="30">
        <v>0</v>
      </c>
    </row>
    <row r="558" spans="10:24" x14ac:dyDescent="0.25">
      <c r="J558">
        <v>550</v>
      </c>
      <c r="K558" s="30">
        <v>3960.6016997023789</v>
      </c>
      <c r="L558" s="30">
        <v>2431.1995044478035</v>
      </c>
      <c r="M558" s="30">
        <v>1285.6082995330662</v>
      </c>
      <c r="N558" s="30">
        <v>1874.7013098356156</v>
      </c>
      <c r="O558" s="30">
        <v>-784.77629789871753</v>
      </c>
      <c r="P558" s="30">
        <v>-2001.8148380674284</v>
      </c>
      <c r="R558">
        <v>550</v>
      </c>
      <c r="S558" s="30">
        <v>223.38171279719268</v>
      </c>
      <c r="T558" s="30">
        <v>243.34952747105518</v>
      </c>
      <c r="U558" s="30">
        <v>246.49622313982104</v>
      </c>
      <c r="V558" s="30">
        <v>0</v>
      </c>
      <c r="W558" s="30">
        <v>0</v>
      </c>
      <c r="X558" s="30">
        <v>0</v>
      </c>
    </row>
    <row r="559" spans="10:24" x14ac:dyDescent="0.25">
      <c r="J559">
        <v>551</v>
      </c>
      <c r="K559" s="30">
        <v>4209.7212334649066</v>
      </c>
      <c r="L559" s="30">
        <v>4165.1844606622553</v>
      </c>
      <c r="M559" s="30">
        <v>3682.8873859762243</v>
      </c>
      <c r="N559" s="30">
        <v>-631.30341729433621</v>
      </c>
      <c r="O559" s="30">
        <v>1387.1436723791458</v>
      </c>
      <c r="P559" s="30">
        <v>-1928.0839404073449</v>
      </c>
      <c r="R559">
        <v>551</v>
      </c>
      <c r="S559" s="30">
        <v>175.93547443703795</v>
      </c>
      <c r="T559" s="30">
        <v>265.80805190029861</v>
      </c>
      <c r="U559" s="30">
        <v>238.77638842542126</v>
      </c>
      <c r="V559" s="30">
        <v>6.7046125263626664</v>
      </c>
      <c r="W559" s="30">
        <v>85.279874168617539</v>
      </c>
      <c r="X559" s="30">
        <v>103.53656752432812</v>
      </c>
    </row>
    <row r="560" spans="10:24" x14ac:dyDescent="0.25">
      <c r="J560">
        <v>552</v>
      </c>
      <c r="K560" s="30">
        <v>4067.619915924517</v>
      </c>
      <c r="L560" s="30">
        <v>3900.5692641346964</v>
      </c>
      <c r="M560" s="30">
        <v>2144.9677865101175</v>
      </c>
      <c r="N560" s="30">
        <v>-1234.4498063892997</v>
      </c>
      <c r="O560" s="30">
        <v>963.94793246774316</v>
      </c>
      <c r="P560" s="30">
        <v>-2453.9223161352593</v>
      </c>
      <c r="R560">
        <v>552</v>
      </c>
      <c r="S560" s="30">
        <v>233.04907624499947</v>
      </c>
      <c r="T560" s="30">
        <v>257.9002940445223</v>
      </c>
      <c r="U560" s="30">
        <v>0</v>
      </c>
      <c r="V560" s="30">
        <v>95.190007735825532</v>
      </c>
      <c r="W560" s="30">
        <v>0</v>
      </c>
      <c r="X560" s="30">
        <v>0</v>
      </c>
    </row>
    <row r="561" spans="10:24" x14ac:dyDescent="0.25">
      <c r="J561">
        <v>553</v>
      </c>
      <c r="K561" s="30">
        <v>1910.2280459050467</v>
      </c>
      <c r="L561" s="30">
        <v>3893.7146495216175</v>
      </c>
      <c r="M561" s="30">
        <v>2146.8010034275485</v>
      </c>
      <c r="N561" s="30">
        <v>303.60878121640599</v>
      </c>
      <c r="O561" s="30">
        <v>369.8600230332695</v>
      </c>
      <c r="P561" s="30">
        <v>-1165.1978199965506</v>
      </c>
      <c r="R561">
        <v>553</v>
      </c>
      <c r="S561" s="30">
        <v>223.20727243600629</v>
      </c>
      <c r="T561" s="30">
        <v>282.24305920515008</v>
      </c>
      <c r="U561" s="30">
        <v>137.19517693229824</v>
      </c>
      <c r="V561" s="30">
        <v>44.913132659885605</v>
      </c>
      <c r="W561" s="30">
        <v>0</v>
      </c>
      <c r="X561" s="30">
        <v>0</v>
      </c>
    </row>
    <row r="562" spans="10:24" x14ac:dyDescent="0.25">
      <c r="J562">
        <v>554</v>
      </c>
      <c r="K562" s="30">
        <v>2639.9398634670652</v>
      </c>
      <c r="L562" s="30">
        <v>2917.3284792466661</v>
      </c>
      <c r="M562" s="30">
        <v>3499.7417604831744</v>
      </c>
      <c r="N562" s="30">
        <v>-302.10414562987262</v>
      </c>
      <c r="O562" s="30">
        <v>2055.0840414932709</v>
      </c>
      <c r="P562" s="30">
        <v>-2035.5937148488947</v>
      </c>
      <c r="R562">
        <v>554</v>
      </c>
      <c r="S562" s="30">
        <v>202.41045056344774</v>
      </c>
      <c r="T562" s="30">
        <v>353.44262753071951</v>
      </c>
      <c r="U562" s="30">
        <v>179.2957820601186</v>
      </c>
      <c r="V562" s="30">
        <v>0</v>
      </c>
      <c r="W562" s="30">
        <v>0</v>
      </c>
      <c r="X562" s="30">
        <v>0</v>
      </c>
    </row>
    <row r="563" spans="10:24" x14ac:dyDescent="0.25">
      <c r="J563">
        <v>555</v>
      </c>
      <c r="K563" s="30">
        <v>3836.7545631754101</v>
      </c>
      <c r="L563" s="30">
        <v>3851.3004509020961</v>
      </c>
      <c r="M563" s="30">
        <v>4001.3114824865861</v>
      </c>
      <c r="N563" s="30">
        <v>1541.6122113057818</v>
      </c>
      <c r="O563" s="30">
        <v>740.58413616750749</v>
      </c>
      <c r="P563" s="30">
        <v>-3119.8419746666659</v>
      </c>
      <c r="R563">
        <v>555</v>
      </c>
      <c r="S563" s="30">
        <v>248.38496349414351</v>
      </c>
      <c r="T563" s="30">
        <v>191.50344726227371</v>
      </c>
      <c r="U563" s="30">
        <v>126.61916964594718</v>
      </c>
      <c r="V563" s="30">
        <v>0</v>
      </c>
      <c r="W563" s="30">
        <v>40.672340395157789</v>
      </c>
      <c r="X563" s="30">
        <v>0</v>
      </c>
    </row>
    <row r="564" spans="10:24" x14ac:dyDescent="0.25">
      <c r="J564">
        <v>556</v>
      </c>
      <c r="K564" s="30">
        <v>2781.8675665784158</v>
      </c>
      <c r="L564" s="30">
        <v>2843.4214863512143</v>
      </c>
      <c r="M564" s="30">
        <v>2065.0138204219656</v>
      </c>
      <c r="N564" s="30">
        <v>1786.0787836354912</v>
      </c>
      <c r="O564" s="30">
        <v>359.78260155920543</v>
      </c>
      <c r="P564" s="30">
        <v>-1495.0133984133763</v>
      </c>
      <c r="R564">
        <v>556</v>
      </c>
      <c r="S564" s="30">
        <v>177.32062897059956</v>
      </c>
      <c r="T564" s="30">
        <v>239.71687357549268</v>
      </c>
      <c r="U564" s="30">
        <v>126.92434750150977</v>
      </c>
      <c r="V564" s="30">
        <v>114.53696225805322</v>
      </c>
      <c r="W564" s="30">
        <v>104.79959938381955</v>
      </c>
      <c r="X564" s="30">
        <v>0</v>
      </c>
    </row>
    <row r="565" spans="10:24" x14ac:dyDescent="0.25">
      <c r="J565">
        <v>557</v>
      </c>
      <c r="K565" s="30">
        <v>2743.2904899817195</v>
      </c>
      <c r="L565" s="30">
        <v>3759.579411359447</v>
      </c>
      <c r="M565" s="30">
        <v>1725.7044080053925</v>
      </c>
      <c r="N565" s="30">
        <v>-1049.867789043733</v>
      </c>
      <c r="O565" s="30">
        <v>-234.62125136318173</v>
      </c>
      <c r="P565" s="30">
        <v>-242.09338342319734</v>
      </c>
      <c r="R565">
        <v>557</v>
      </c>
      <c r="S565" s="30">
        <v>270.65372846356911</v>
      </c>
      <c r="T565" s="30">
        <v>298.40864240930273</v>
      </c>
      <c r="U565" s="30">
        <v>171.25835767733946</v>
      </c>
      <c r="V565" s="30">
        <v>0</v>
      </c>
      <c r="W565" s="30">
        <v>0</v>
      </c>
      <c r="X565" s="30">
        <v>0</v>
      </c>
    </row>
    <row r="566" spans="10:24" x14ac:dyDescent="0.25">
      <c r="J566">
        <v>558</v>
      </c>
      <c r="K566" s="30">
        <v>2685.1729208850611</v>
      </c>
      <c r="L566" s="30">
        <v>3840.5971920396</v>
      </c>
      <c r="M566" s="30">
        <v>3393.6798255010281</v>
      </c>
      <c r="N566" s="30">
        <v>1722.9315867206151</v>
      </c>
      <c r="O566" s="30">
        <v>1686.8789890749777</v>
      </c>
      <c r="P566" s="30">
        <v>-816.02674068291344</v>
      </c>
      <c r="R566">
        <v>558</v>
      </c>
      <c r="S566" s="30">
        <v>318.65594986675393</v>
      </c>
      <c r="T566" s="30">
        <v>140.8656440007075</v>
      </c>
      <c r="U566" s="30">
        <v>192.47173060655069</v>
      </c>
      <c r="V566" s="30">
        <v>73.763785921408839</v>
      </c>
      <c r="W566" s="30">
        <v>0</v>
      </c>
      <c r="X566" s="30">
        <v>0</v>
      </c>
    </row>
    <row r="567" spans="10:24" x14ac:dyDescent="0.25">
      <c r="J567">
        <v>559</v>
      </c>
      <c r="K567" s="30">
        <v>2137.6561054126109</v>
      </c>
      <c r="L567" s="30">
        <v>3189.4418527848597</v>
      </c>
      <c r="M567" s="30">
        <v>2082.4293532698998</v>
      </c>
      <c r="N567" s="30">
        <v>692.43589950754722</v>
      </c>
      <c r="O567" s="30">
        <v>396.74859763073255</v>
      </c>
      <c r="P567" s="30">
        <v>-807.44777205442279</v>
      </c>
      <c r="R567">
        <v>559</v>
      </c>
      <c r="S567" s="30">
        <v>176.88243961253693</v>
      </c>
      <c r="T567" s="30">
        <v>365.25220801089557</v>
      </c>
      <c r="U567" s="30">
        <v>150.30899643234602</v>
      </c>
      <c r="V567" s="30">
        <v>29.644234100443896</v>
      </c>
      <c r="W567" s="30">
        <v>0</v>
      </c>
      <c r="X567" s="30">
        <v>0</v>
      </c>
    </row>
    <row r="568" spans="10:24" x14ac:dyDescent="0.25">
      <c r="J568">
        <v>560</v>
      </c>
      <c r="K568" s="30">
        <v>2822.380718956741</v>
      </c>
      <c r="L568" s="30">
        <v>4026.8267460706197</v>
      </c>
      <c r="M568" s="30">
        <v>1546.8640677672256</v>
      </c>
      <c r="N568" s="30">
        <v>-78.542835974792069</v>
      </c>
      <c r="O568" s="30">
        <v>1162.0171396827664</v>
      </c>
      <c r="P568" s="30">
        <v>-250.4977037087383</v>
      </c>
      <c r="R568">
        <v>560</v>
      </c>
      <c r="S568" s="30">
        <v>285.75936312147468</v>
      </c>
      <c r="T568" s="30">
        <v>215.15469356030815</v>
      </c>
      <c r="U568" s="30">
        <v>148.44330778134173</v>
      </c>
      <c r="V568" s="30">
        <v>0</v>
      </c>
      <c r="W568" s="30">
        <v>158.38608129512971</v>
      </c>
      <c r="X568" s="30">
        <v>0</v>
      </c>
    </row>
    <row r="569" spans="10:24" x14ac:dyDescent="0.25">
      <c r="J569">
        <v>561</v>
      </c>
      <c r="K569" s="30">
        <v>2957.6499110196619</v>
      </c>
      <c r="L569" s="30">
        <v>4174.6544270758977</v>
      </c>
      <c r="M569" s="30">
        <v>3725.5017808764164</v>
      </c>
      <c r="N569" s="30">
        <v>1901.7863042648478</v>
      </c>
      <c r="O569" s="30">
        <v>1966.3247150856914</v>
      </c>
      <c r="P569" s="30">
        <v>768.97312080765096</v>
      </c>
      <c r="R569">
        <v>561</v>
      </c>
      <c r="S569" s="30">
        <v>142.58199075340741</v>
      </c>
      <c r="T569" s="30">
        <v>225.88076057365276</v>
      </c>
      <c r="U569" s="30">
        <v>221.68863247209589</v>
      </c>
      <c r="V569" s="30">
        <v>0</v>
      </c>
      <c r="W569" s="30">
        <v>0</v>
      </c>
      <c r="X569" s="30">
        <v>0</v>
      </c>
    </row>
    <row r="570" spans="10:24" x14ac:dyDescent="0.25">
      <c r="J570">
        <v>562</v>
      </c>
      <c r="K570" s="30">
        <v>2430.2928358269619</v>
      </c>
      <c r="L570" s="30">
        <v>2939.1282772598606</v>
      </c>
      <c r="M570" s="30">
        <v>2972.0146096239978</v>
      </c>
      <c r="N570" s="30">
        <v>384.53543730892761</v>
      </c>
      <c r="O570" s="30">
        <v>-394.46146681122627</v>
      </c>
      <c r="P570" s="30">
        <v>-1515.2241794166221</v>
      </c>
      <c r="R570">
        <v>562</v>
      </c>
      <c r="S570" s="30">
        <v>244.91500515730854</v>
      </c>
      <c r="T570" s="30">
        <v>428.40560371828906</v>
      </c>
      <c r="U570" s="30">
        <v>200.38622934891873</v>
      </c>
      <c r="V570" s="30">
        <v>21.38639564329435</v>
      </c>
      <c r="W570" s="30">
        <v>0</v>
      </c>
      <c r="X570" s="30">
        <v>83.270261415090545</v>
      </c>
    </row>
    <row r="571" spans="10:24" x14ac:dyDescent="0.25">
      <c r="J571">
        <v>563</v>
      </c>
      <c r="K571" s="30">
        <v>2275.8129660490135</v>
      </c>
      <c r="L571" s="30">
        <v>2081.5171211310108</v>
      </c>
      <c r="M571" s="30">
        <v>2957.3267379918011</v>
      </c>
      <c r="N571" s="30">
        <v>2502.2523154767914</v>
      </c>
      <c r="O571" s="30">
        <v>1370.9599140076025</v>
      </c>
      <c r="P571" s="30">
        <v>-1479.5197099472434</v>
      </c>
      <c r="R571">
        <v>563</v>
      </c>
      <c r="S571" s="30">
        <v>270.46694136162489</v>
      </c>
      <c r="T571" s="30">
        <v>336.57160717334136</v>
      </c>
      <c r="U571" s="30">
        <v>209.86818051344943</v>
      </c>
      <c r="V571" s="30">
        <v>0</v>
      </c>
      <c r="W571" s="30">
        <v>0</v>
      </c>
      <c r="X571" s="30">
        <v>0</v>
      </c>
    </row>
    <row r="572" spans="10:24" x14ac:dyDescent="0.25">
      <c r="J572">
        <v>564</v>
      </c>
      <c r="K572" s="30">
        <v>4317.2687444768944</v>
      </c>
      <c r="L572" s="30">
        <v>4117.9631821858184</v>
      </c>
      <c r="M572" s="30">
        <v>2674.6350629676845</v>
      </c>
      <c r="N572" s="30">
        <v>2856.8251690352317</v>
      </c>
      <c r="O572" s="30">
        <v>2048.1547121560561</v>
      </c>
      <c r="P572" s="30">
        <v>-2947.7441919417133</v>
      </c>
      <c r="R572">
        <v>564</v>
      </c>
      <c r="S572" s="30">
        <v>196.92683243882959</v>
      </c>
      <c r="T572" s="30">
        <v>284.68718655742828</v>
      </c>
      <c r="U572" s="30">
        <v>248.58217992242714</v>
      </c>
      <c r="V572" s="30">
        <v>0</v>
      </c>
      <c r="W572" s="30">
        <v>0</v>
      </c>
      <c r="X572" s="30">
        <v>0</v>
      </c>
    </row>
    <row r="573" spans="10:24" x14ac:dyDescent="0.25">
      <c r="J573">
        <v>565</v>
      </c>
      <c r="K573" s="30">
        <v>3245.2878116736561</v>
      </c>
      <c r="L573" s="30">
        <v>2465.0117496463572</v>
      </c>
      <c r="M573" s="30">
        <v>3499.0520750695987</v>
      </c>
      <c r="N573" s="30">
        <v>1624.3285061714332</v>
      </c>
      <c r="O573" s="30">
        <v>-815.28068859005816</v>
      </c>
      <c r="P573" s="30">
        <v>358.59208756132557</v>
      </c>
      <c r="R573">
        <v>565</v>
      </c>
      <c r="S573" s="30">
        <v>301.67937652063637</v>
      </c>
      <c r="T573" s="30">
        <v>372.81845337870021</v>
      </c>
      <c r="U573" s="30">
        <v>159.13147748388758</v>
      </c>
      <c r="V573" s="30">
        <v>11.366687433833363</v>
      </c>
      <c r="W573" s="30">
        <v>0</v>
      </c>
      <c r="X573" s="30">
        <v>0</v>
      </c>
    </row>
    <row r="574" spans="10:24" x14ac:dyDescent="0.25">
      <c r="J574">
        <v>566</v>
      </c>
      <c r="K574" s="30">
        <v>2916.6362037592367</v>
      </c>
      <c r="L574" s="30">
        <v>3054.1690855621064</v>
      </c>
      <c r="M574" s="30">
        <v>1942.6132018962949</v>
      </c>
      <c r="N574" s="30">
        <v>178.30799356162242</v>
      </c>
      <c r="O574" s="30">
        <v>53.786581232908247</v>
      </c>
      <c r="P574" s="30">
        <v>46.57336318524267</v>
      </c>
      <c r="R574">
        <v>566</v>
      </c>
      <c r="S574" s="30">
        <v>181.66250879526388</v>
      </c>
      <c r="T574" s="30">
        <v>307.22458871506984</v>
      </c>
      <c r="U574" s="30">
        <v>105.65456348058314</v>
      </c>
      <c r="V574" s="30">
        <v>0</v>
      </c>
      <c r="W574" s="30">
        <v>0</v>
      </c>
      <c r="X574" s="30">
        <v>0</v>
      </c>
    </row>
    <row r="575" spans="10:24" x14ac:dyDescent="0.25">
      <c r="J575">
        <v>567</v>
      </c>
      <c r="K575" s="30">
        <v>3151.9255395594719</v>
      </c>
      <c r="L575" s="30">
        <v>3923.6003481616081</v>
      </c>
      <c r="M575" s="30">
        <v>2445.4485059380004</v>
      </c>
      <c r="N575" s="30">
        <v>1466.7567929106208</v>
      </c>
      <c r="O575" s="30">
        <v>2346.3211280344676</v>
      </c>
      <c r="P575" s="30">
        <v>-468.15480571357421</v>
      </c>
      <c r="R575">
        <v>567</v>
      </c>
      <c r="S575" s="30">
        <v>238.20950572380866</v>
      </c>
      <c r="T575" s="30">
        <v>359.35117745226535</v>
      </c>
      <c r="U575" s="30">
        <v>206.39914628374217</v>
      </c>
      <c r="V575" s="30">
        <v>0</v>
      </c>
      <c r="W575" s="30">
        <v>173.6928169555199</v>
      </c>
      <c r="X575" s="30">
        <v>0</v>
      </c>
    </row>
    <row r="576" spans="10:24" x14ac:dyDescent="0.25">
      <c r="J576">
        <v>568</v>
      </c>
      <c r="K576" s="30">
        <v>2755.0316467162502</v>
      </c>
      <c r="L576" s="30">
        <v>3615.4673162242016</v>
      </c>
      <c r="M576" s="30">
        <v>2056.7107094845574</v>
      </c>
      <c r="N576" s="30">
        <v>-292.11061937036084</v>
      </c>
      <c r="O576" s="30">
        <v>2345.7055676665877</v>
      </c>
      <c r="P576" s="30">
        <v>-2702.625946414556</v>
      </c>
      <c r="R576">
        <v>568</v>
      </c>
      <c r="S576" s="30">
        <v>248.54647294114972</v>
      </c>
      <c r="T576" s="30">
        <v>351.98734002826478</v>
      </c>
      <c r="U576" s="30">
        <v>182.36108373640462</v>
      </c>
      <c r="V576" s="30">
        <v>5.1258483554828445</v>
      </c>
      <c r="W576" s="30">
        <v>24.110721430192143</v>
      </c>
      <c r="X576" s="30">
        <v>0</v>
      </c>
    </row>
    <row r="577" spans="10:24" x14ac:dyDescent="0.25">
      <c r="J577">
        <v>569</v>
      </c>
      <c r="K577" s="30">
        <v>2336.168015133449</v>
      </c>
      <c r="L577" s="30">
        <v>2966.3713485180137</v>
      </c>
      <c r="M577" s="30">
        <v>2268.3900018006907</v>
      </c>
      <c r="N577" s="30">
        <v>3036.5674608683448</v>
      </c>
      <c r="O577" s="30">
        <v>2303.5847907345496</v>
      </c>
      <c r="P577" s="30">
        <v>-839.9980253609192</v>
      </c>
      <c r="R577">
        <v>569</v>
      </c>
      <c r="S577" s="30">
        <v>314.21535787190368</v>
      </c>
      <c r="T577" s="30">
        <v>321.12311908810119</v>
      </c>
      <c r="U577" s="30">
        <v>151.71236029923824</v>
      </c>
      <c r="V577" s="30">
        <v>0</v>
      </c>
      <c r="W577" s="30">
        <v>69.496797475608446</v>
      </c>
      <c r="X577" s="30">
        <v>0</v>
      </c>
    </row>
    <row r="578" spans="10:24" x14ac:dyDescent="0.25">
      <c r="J578">
        <v>570</v>
      </c>
      <c r="K578" s="30">
        <v>2323.6148315518458</v>
      </c>
      <c r="L578" s="30">
        <v>2425.4105923247162</v>
      </c>
      <c r="M578" s="30">
        <v>3655.7341053765981</v>
      </c>
      <c r="N578" s="30">
        <v>-250.02697615919624</v>
      </c>
      <c r="O578" s="30">
        <v>-454.63507050795852</v>
      </c>
      <c r="P578" s="30">
        <v>-272.6215957738541</v>
      </c>
      <c r="R578">
        <v>570</v>
      </c>
      <c r="S578" s="30">
        <v>221.94974757165295</v>
      </c>
      <c r="T578" s="30">
        <v>288.32363418344988</v>
      </c>
      <c r="U578" s="30">
        <v>76.878378101951057</v>
      </c>
      <c r="V578" s="30">
        <v>51.024909231397487</v>
      </c>
      <c r="W578" s="30">
        <v>39.721520020289631</v>
      </c>
      <c r="X578" s="30">
        <v>0</v>
      </c>
    </row>
    <row r="579" spans="10:24" x14ac:dyDescent="0.25">
      <c r="J579">
        <v>571</v>
      </c>
      <c r="K579" s="30">
        <v>4106.2221683339594</v>
      </c>
      <c r="L579" s="30">
        <v>2618.0565239439784</v>
      </c>
      <c r="M579" s="30">
        <v>1371.0469510980338</v>
      </c>
      <c r="N579" s="30">
        <v>-106.69696802603448</v>
      </c>
      <c r="O579" s="30">
        <v>-311.9834755020529</v>
      </c>
      <c r="P579" s="30">
        <v>-154.78871401419292</v>
      </c>
      <c r="R579">
        <v>571</v>
      </c>
      <c r="S579" s="30">
        <v>356.8006019518657</v>
      </c>
      <c r="T579" s="30">
        <v>215.43354877606299</v>
      </c>
      <c r="U579" s="30">
        <v>102.27744231179179</v>
      </c>
      <c r="V579" s="30">
        <v>65.086147739455441</v>
      </c>
      <c r="W579" s="30">
        <v>0</v>
      </c>
      <c r="X579" s="30">
        <v>0</v>
      </c>
    </row>
    <row r="580" spans="10:24" x14ac:dyDescent="0.25">
      <c r="J580">
        <v>572</v>
      </c>
      <c r="K580" s="30">
        <v>2597.8177648720539</v>
      </c>
      <c r="L580" s="30">
        <v>2974.5142675103293</v>
      </c>
      <c r="M580" s="30">
        <v>3986.3900150471618</v>
      </c>
      <c r="N580" s="30">
        <v>1673.7054495011253</v>
      </c>
      <c r="O580" s="30">
        <v>235.40292338928248</v>
      </c>
      <c r="P580" s="30">
        <v>-1204.8704385113961</v>
      </c>
      <c r="R580">
        <v>572</v>
      </c>
      <c r="S580" s="30">
        <v>288.71904226347857</v>
      </c>
      <c r="T580" s="30">
        <v>343.70470476673535</v>
      </c>
      <c r="U580" s="30">
        <v>117.20635248311356</v>
      </c>
      <c r="V580" s="30">
        <v>0</v>
      </c>
      <c r="W580" s="30">
        <v>0</v>
      </c>
      <c r="X580" s="30">
        <v>0</v>
      </c>
    </row>
    <row r="581" spans="10:24" x14ac:dyDescent="0.25">
      <c r="J581">
        <v>573</v>
      </c>
      <c r="K581" s="30">
        <v>4033.6668874845082</v>
      </c>
      <c r="L581" s="30">
        <v>2499.483066243748</v>
      </c>
      <c r="M581" s="30">
        <v>2849.4998921487227</v>
      </c>
      <c r="N581" s="30">
        <v>411.37287052181091</v>
      </c>
      <c r="O581" s="30">
        <v>1252.4857472343365</v>
      </c>
      <c r="P581" s="30">
        <v>-2074.7151748839933</v>
      </c>
      <c r="R581">
        <v>573</v>
      </c>
      <c r="S581" s="30">
        <v>325.52572234737147</v>
      </c>
      <c r="T581" s="30">
        <v>165.10528004113291</v>
      </c>
      <c r="U581" s="30">
        <v>237.46199744184526</v>
      </c>
      <c r="V581" s="30">
        <v>0</v>
      </c>
      <c r="W581" s="30">
        <v>0</v>
      </c>
      <c r="X581" s="30">
        <v>0</v>
      </c>
    </row>
    <row r="582" spans="10:24" x14ac:dyDescent="0.25">
      <c r="J582">
        <v>574</v>
      </c>
      <c r="K582" s="30">
        <v>2784.0198920223065</v>
      </c>
      <c r="L582" s="30">
        <v>2683.2966096320165</v>
      </c>
      <c r="M582" s="30">
        <v>3759.6586188791493</v>
      </c>
      <c r="N582" s="30">
        <v>805.14078496439015</v>
      </c>
      <c r="O582" s="30">
        <v>1812.3593304709775</v>
      </c>
      <c r="P582" s="30">
        <v>-1197.378166649205</v>
      </c>
      <c r="R582">
        <v>574</v>
      </c>
      <c r="S582" s="30">
        <v>245.47631121299952</v>
      </c>
      <c r="T582" s="30">
        <v>316.74403588018555</v>
      </c>
      <c r="U582" s="30">
        <v>245.3479215324287</v>
      </c>
      <c r="V582" s="30">
        <v>0</v>
      </c>
      <c r="W582" s="30">
        <v>0</v>
      </c>
      <c r="X582" s="30">
        <v>0</v>
      </c>
    </row>
    <row r="583" spans="10:24" x14ac:dyDescent="0.25">
      <c r="J583">
        <v>575</v>
      </c>
      <c r="K583" s="30">
        <v>2404.1118831707608</v>
      </c>
      <c r="L583" s="30">
        <v>2362.3656618872078</v>
      </c>
      <c r="M583" s="30">
        <v>2385.3954215783447</v>
      </c>
      <c r="N583" s="30">
        <v>1918.4739775404851</v>
      </c>
      <c r="O583" s="30">
        <v>315.30945247852105</v>
      </c>
      <c r="P583" s="30">
        <v>-354.96473281740327</v>
      </c>
      <c r="R583">
        <v>575</v>
      </c>
      <c r="S583" s="30">
        <v>123.23540110196393</v>
      </c>
      <c r="T583" s="30">
        <v>343.61858551968629</v>
      </c>
      <c r="U583" s="30">
        <v>90.053356491742761</v>
      </c>
      <c r="V583" s="30">
        <v>0</v>
      </c>
      <c r="W583" s="30">
        <v>53.481791262329011</v>
      </c>
      <c r="X583" s="30">
        <v>0</v>
      </c>
    </row>
    <row r="584" spans="10:24" x14ac:dyDescent="0.25">
      <c r="J584">
        <v>576</v>
      </c>
      <c r="K584" s="30">
        <v>2255.7602836827828</v>
      </c>
      <c r="L584" s="30">
        <v>2939.0819307061229</v>
      </c>
      <c r="M584" s="30">
        <v>3197.6538167547183</v>
      </c>
      <c r="N584" s="30">
        <v>1253.1548762137863</v>
      </c>
      <c r="O584" s="30">
        <v>1726.6353979798259</v>
      </c>
      <c r="P584" s="30">
        <v>-141.279018411984</v>
      </c>
      <c r="R584">
        <v>576</v>
      </c>
      <c r="S584" s="30">
        <v>231.27854266442051</v>
      </c>
      <c r="T584" s="30">
        <v>274.53004030428173</v>
      </c>
      <c r="U584" s="30">
        <v>97.295081977410803</v>
      </c>
      <c r="V584" s="30">
        <v>0</v>
      </c>
      <c r="W584" s="30">
        <v>0</v>
      </c>
      <c r="X584" s="30">
        <v>0</v>
      </c>
    </row>
    <row r="585" spans="10:24" x14ac:dyDescent="0.25">
      <c r="J585">
        <v>577</v>
      </c>
      <c r="K585" s="30">
        <v>2554.8101274706924</v>
      </c>
      <c r="L585" s="30">
        <v>2935.8353860957795</v>
      </c>
      <c r="M585" s="30">
        <v>1624.9894374747655</v>
      </c>
      <c r="N585" s="30">
        <v>-842.50946813400788</v>
      </c>
      <c r="O585" s="30">
        <v>842.52406442376105</v>
      </c>
      <c r="P585" s="30">
        <v>-1167.049619864265</v>
      </c>
      <c r="R585">
        <v>577</v>
      </c>
      <c r="S585" s="30">
        <v>302.73375684839954</v>
      </c>
      <c r="T585" s="30">
        <v>244.55338630513484</v>
      </c>
      <c r="U585" s="30">
        <v>190.94213986586749</v>
      </c>
      <c r="V585" s="30">
        <v>26.416814236837752</v>
      </c>
      <c r="W585" s="30">
        <v>0</v>
      </c>
      <c r="X585" s="30">
        <v>0</v>
      </c>
    </row>
    <row r="586" spans="10:24" x14ac:dyDescent="0.25">
      <c r="J586">
        <v>578</v>
      </c>
      <c r="K586" s="30">
        <v>2386.4158335619577</v>
      </c>
      <c r="L586" s="30">
        <v>3198.1365480208692</v>
      </c>
      <c r="M586" s="30">
        <v>2193.6295074475347</v>
      </c>
      <c r="N586" s="30">
        <v>1411.8785765487564</v>
      </c>
      <c r="O586" s="30">
        <v>2202.4487082571723</v>
      </c>
      <c r="P586" s="30">
        <v>-442.98768181518972</v>
      </c>
      <c r="R586">
        <v>578</v>
      </c>
      <c r="S586" s="30">
        <v>317.36720760240718</v>
      </c>
      <c r="T586" s="30">
        <v>396.48564757705543</v>
      </c>
      <c r="U586" s="30">
        <v>201.38931996383718</v>
      </c>
      <c r="V586" s="30">
        <v>0</v>
      </c>
      <c r="W586" s="30">
        <v>96.974455797413498</v>
      </c>
      <c r="X586" s="30">
        <v>0</v>
      </c>
    </row>
    <row r="587" spans="10:24" x14ac:dyDescent="0.25">
      <c r="J587">
        <v>579</v>
      </c>
      <c r="K587" s="30">
        <v>2207.4798013337891</v>
      </c>
      <c r="L587" s="30">
        <v>2568.7745132942046</v>
      </c>
      <c r="M587" s="30">
        <v>1969.6496453601799</v>
      </c>
      <c r="N587" s="30">
        <v>469.04625648041838</v>
      </c>
      <c r="O587" s="30">
        <v>1466.6867135241728</v>
      </c>
      <c r="P587" s="30">
        <v>286.15177759003382</v>
      </c>
      <c r="R587">
        <v>579</v>
      </c>
      <c r="S587" s="30">
        <v>382.44119567263783</v>
      </c>
      <c r="T587" s="30">
        <v>295.74475123849101</v>
      </c>
      <c r="U587" s="30">
        <v>183.17606343348473</v>
      </c>
      <c r="V587" s="30">
        <v>0</v>
      </c>
      <c r="W587" s="30">
        <v>0</v>
      </c>
      <c r="X587" s="30">
        <v>0</v>
      </c>
    </row>
    <row r="588" spans="10:24" x14ac:dyDescent="0.25">
      <c r="J588">
        <v>580</v>
      </c>
      <c r="K588" s="30">
        <v>2744.9762236821871</v>
      </c>
      <c r="L588" s="30">
        <v>3855.9601576773089</v>
      </c>
      <c r="M588" s="30">
        <v>2232.6488696862452</v>
      </c>
      <c r="N588" s="30">
        <v>-910.23808675356122</v>
      </c>
      <c r="O588" s="30">
        <v>2692.1070929719099</v>
      </c>
      <c r="P588" s="30">
        <v>-341.56387219500903</v>
      </c>
      <c r="R588">
        <v>580</v>
      </c>
      <c r="S588" s="30">
        <v>223.60516013579377</v>
      </c>
      <c r="T588" s="30">
        <v>200.17362735187515</v>
      </c>
      <c r="U588" s="30">
        <v>227.75284712652967</v>
      </c>
      <c r="V588" s="30">
        <v>0</v>
      </c>
      <c r="W588" s="30">
        <v>47.792576779683145</v>
      </c>
      <c r="X588" s="30">
        <v>0</v>
      </c>
    </row>
    <row r="589" spans="10:24" x14ac:dyDescent="0.25">
      <c r="J589">
        <v>581</v>
      </c>
      <c r="K589" s="30">
        <v>3104.3863767323073</v>
      </c>
      <c r="L589" s="30">
        <v>3133.718885685179</v>
      </c>
      <c r="M589" s="30">
        <v>3459.5326857478585</v>
      </c>
      <c r="N589" s="30">
        <v>729.61172420107596</v>
      </c>
      <c r="O589" s="30">
        <v>2087.6611389594937</v>
      </c>
      <c r="P589" s="30">
        <v>-2124.9966994648121</v>
      </c>
      <c r="R589">
        <v>581</v>
      </c>
      <c r="S589" s="30">
        <v>197.89209396229734</v>
      </c>
      <c r="T589" s="30">
        <v>278.80668110467082</v>
      </c>
      <c r="U589" s="30">
        <v>115.31959659591467</v>
      </c>
      <c r="V589" s="30">
        <v>0</v>
      </c>
      <c r="W589" s="30">
        <v>0</v>
      </c>
      <c r="X589" s="30">
        <v>0</v>
      </c>
    </row>
    <row r="590" spans="10:24" x14ac:dyDescent="0.25">
      <c r="J590">
        <v>582</v>
      </c>
      <c r="K590" s="30">
        <v>3155.372846796899</v>
      </c>
      <c r="L590" s="30">
        <v>4351.0773953416974</v>
      </c>
      <c r="M590" s="30">
        <v>823.89732429247033</v>
      </c>
      <c r="N590" s="30">
        <v>502.31146399194404</v>
      </c>
      <c r="O590" s="30">
        <v>1390.7146581652214</v>
      </c>
      <c r="P590" s="30">
        <v>-1858.3117674823407</v>
      </c>
      <c r="R590">
        <v>582</v>
      </c>
      <c r="S590" s="30">
        <v>221.34130661370926</v>
      </c>
      <c r="T590" s="30">
        <v>328.43854795297642</v>
      </c>
      <c r="U590" s="30">
        <v>214.74890547379289</v>
      </c>
      <c r="V590" s="30">
        <v>0</v>
      </c>
      <c r="W590" s="30">
        <v>28.609817982045342</v>
      </c>
      <c r="X590" s="30">
        <v>0</v>
      </c>
    </row>
    <row r="591" spans="10:24" x14ac:dyDescent="0.25">
      <c r="J591">
        <v>583</v>
      </c>
      <c r="K591" s="30">
        <v>2403.9796126048141</v>
      </c>
      <c r="L591" s="30">
        <v>2499.5888660954088</v>
      </c>
      <c r="M591" s="30">
        <v>1980.1825659232345</v>
      </c>
      <c r="N591" s="30">
        <v>2204.8021751716915</v>
      </c>
      <c r="O591" s="30">
        <v>1211.3791308056343</v>
      </c>
      <c r="P591" s="30">
        <v>351.51407187738278</v>
      </c>
      <c r="R591">
        <v>583</v>
      </c>
      <c r="S591" s="30">
        <v>282.08278754954915</v>
      </c>
      <c r="T591" s="30">
        <v>389.52944462961034</v>
      </c>
      <c r="U591" s="30">
        <v>137.23528394695251</v>
      </c>
      <c r="V591" s="30">
        <v>0</v>
      </c>
      <c r="W591" s="30">
        <v>0</v>
      </c>
      <c r="X591" s="30">
        <v>0</v>
      </c>
    </row>
    <row r="592" spans="10:24" x14ac:dyDescent="0.25">
      <c r="J592">
        <v>584</v>
      </c>
      <c r="K592" s="30">
        <v>2888.504737132916</v>
      </c>
      <c r="L592" s="30">
        <v>3880.8945934900703</v>
      </c>
      <c r="M592" s="30">
        <v>1927.5843903283285</v>
      </c>
      <c r="N592" s="30">
        <v>1028.2399800693538</v>
      </c>
      <c r="O592" s="30">
        <v>2245.5239366474689</v>
      </c>
      <c r="P592" s="30">
        <v>-2415.9310828139514</v>
      </c>
      <c r="R592">
        <v>584</v>
      </c>
      <c r="S592" s="30">
        <v>309.08289826230236</v>
      </c>
      <c r="T592" s="30">
        <v>258.53548730529729</v>
      </c>
      <c r="U592" s="30">
        <v>102.97868465882169</v>
      </c>
      <c r="V592" s="30">
        <v>0</v>
      </c>
      <c r="W592" s="30">
        <v>0</v>
      </c>
      <c r="X592" s="30">
        <v>0</v>
      </c>
    </row>
    <row r="593" spans="10:24" x14ac:dyDescent="0.25">
      <c r="J593">
        <v>585</v>
      </c>
      <c r="K593" s="30">
        <v>2699.7462998238352</v>
      </c>
      <c r="L593" s="30">
        <v>4598.6430931389787</v>
      </c>
      <c r="M593" s="30">
        <v>3586.3983113068307</v>
      </c>
      <c r="N593" s="30">
        <v>305.56232196670135</v>
      </c>
      <c r="O593" s="30">
        <v>3745.1937575408219</v>
      </c>
      <c r="P593" s="30">
        <v>-478.0521690884334</v>
      </c>
      <c r="R593">
        <v>585</v>
      </c>
      <c r="S593" s="30">
        <v>202.71057843638454</v>
      </c>
      <c r="T593" s="30">
        <v>245.44512115066533</v>
      </c>
      <c r="U593" s="30">
        <v>190.54972676821009</v>
      </c>
      <c r="V593" s="30">
        <v>0</v>
      </c>
      <c r="W593" s="30">
        <v>19.411975484854906</v>
      </c>
      <c r="X593" s="30">
        <v>0</v>
      </c>
    </row>
    <row r="594" spans="10:24" x14ac:dyDescent="0.25">
      <c r="J594">
        <v>586</v>
      </c>
      <c r="K594" s="30">
        <v>3548.1188352836843</v>
      </c>
      <c r="L594" s="30">
        <v>2336.0059053173077</v>
      </c>
      <c r="M594" s="30">
        <v>3037.0801004296527</v>
      </c>
      <c r="N594" s="30">
        <v>1272.679301175137</v>
      </c>
      <c r="O594" s="30">
        <v>2224.4406348874991</v>
      </c>
      <c r="P594" s="30">
        <v>-1834.8917626589109</v>
      </c>
      <c r="R594">
        <v>586</v>
      </c>
      <c r="S594" s="30">
        <v>210.38813673920174</v>
      </c>
      <c r="T594" s="30">
        <v>404.0632939733145</v>
      </c>
      <c r="U594" s="30">
        <v>236.04713529390574</v>
      </c>
      <c r="V594" s="30">
        <v>0</v>
      </c>
      <c r="W594" s="30">
        <v>0</v>
      </c>
      <c r="X594" s="30">
        <v>0</v>
      </c>
    </row>
    <row r="595" spans="10:24" x14ac:dyDescent="0.25">
      <c r="J595">
        <v>587</v>
      </c>
      <c r="K595" s="30">
        <v>3795.2277447811216</v>
      </c>
      <c r="L595" s="30">
        <v>2183.4349756335755</v>
      </c>
      <c r="M595" s="30">
        <v>3466.1649636541456</v>
      </c>
      <c r="N595" s="30">
        <v>-1530.8316041634216</v>
      </c>
      <c r="O595" s="30">
        <v>2077.0679214740194</v>
      </c>
      <c r="P595" s="30">
        <v>1771.7745645435971</v>
      </c>
      <c r="R595">
        <v>587</v>
      </c>
      <c r="S595" s="30">
        <v>181.66596815869343</v>
      </c>
      <c r="T595" s="30">
        <v>398.41931845922568</v>
      </c>
      <c r="U595" s="30">
        <v>120.18226753748166</v>
      </c>
      <c r="V595" s="30">
        <v>4.891008076591902</v>
      </c>
      <c r="W595" s="30">
        <v>0</v>
      </c>
      <c r="X595" s="30">
        <v>0</v>
      </c>
    </row>
    <row r="596" spans="10:24" x14ac:dyDescent="0.25">
      <c r="J596">
        <v>588</v>
      </c>
      <c r="K596" s="30">
        <v>2489.9500791983464</v>
      </c>
      <c r="L596" s="30">
        <v>2683.3294788793464</v>
      </c>
      <c r="M596" s="30">
        <v>3025.4841918911297</v>
      </c>
      <c r="N596" s="30">
        <v>1157.2382613077834</v>
      </c>
      <c r="O596" s="30">
        <v>922.25824568241842</v>
      </c>
      <c r="P596" s="30">
        <v>-619.58957892665694</v>
      </c>
      <c r="R596">
        <v>588</v>
      </c>
      <c r="S596" s="30">
        <v>194.09248054984772</v>
      </c>
      <c r="T596" s="30">
        <v>324.8618820029202</v>
      </c>
      <c r="U596" s="30">
        <v>197.17464452358308</v>
      </c>
      <c r="V596" s="30">
        <v>15.19024712219823</v>
      </c>
      <c r="W596" s="30">
        <v>180.37359425536272</v>
      </c>
      <c r="X596" s="30">
        <v>0</v>
      </c>
    </row>
    <row r="597" spans="10:24" x14ac:dyDescent="0.25">
      <c r="J597">
        <v>589</v>
      </c>
      <c r="K597" s="30">
        <v>1791.2534749588613</v>
      </c>
      <c r="L597" s="30">
        <v>3605.453662083723</v>
      </c>
      <c r="M597" s="30">
        <v>2537.3045303496433</v>
      </c>
      <c r="N597" s="30">
        <v>147.28479909960697</v>
      </c>
      <c r="O597" s="30">
        <v>1589.5674630766662</v>
      </c>
      <c r="P597" s="30">
        <v>1091.773364809821</v>
      </c>
      <c r="R597">
        <v>589</v>
      </c>
      <c r="S597" s="30">
        <v>240.35360527273428</v>
      </c>
      <c r="T597" s="30">
        <v>221.79694253351306</v>
      </c>
      <c r="U597" s="30">
        <v>102.58371594362035</v>
      </c>
      <c r="V597" s="30">
        <v>0</v>
      </c>
      <c r="W597" s="30">
        <v>84.787229306086033</v>
      </c>
      <c r="X597" s="30">
        <v>0</v>
      </c>
    </row>
    <row r="598" spans="10:24" x14ac:dyDescent="0.25">
      <c r="J598">
        <v>590</v>
      </c>
      <c r="K598" s="30">
        <v>2949.3537528089637</v>
      </c>
      <c r="L598" s="30">
        <v>3607.1651944364467</v>
      </c>
      <c r="M598" s="30">
        <v>2182.90388249534</v>
      </c>
      <c r="N598" s="30">
        <v>-48.636419703849242</v>
      </c>
      <c r="O598" s="30">
        <v>-294.93030908145374</v>
      </c>
      <c r="P598" s="30">
        <v>-2183.3809355304784</v>
      </c>
      <c r="R598">
        <v>590</v>
      </c>
      <c r="S598" s="30">
        <v>242.95134170536579</v>
      </c>
      <c r="T598" s="30">
        <v>230.28470083147647</v>
      </c>
      <c r="U598" s="30">
        <v>135.15855235073593</v>
      </c>
      <c r="V598" s="30">
        <v>0</v>
      </c>
      <c r="W598" s="30">
        <v>102.25115707459366</v>
      </c>
      <c r="X598" s="30">
        <v>0</v>
      </c>
    </row>
    <row r="599" spans="10:24" x14ac:dyDescent="0.25">
      <c r="J599">
        <v>591</v>
      </c>
      <c r="K599" s="30">
        <v>4220.2398769905212</v>
      </c>
      <c r="L599" s="30">
        <v>4213.4679061538227</v>
      </c>
      <c r="M599" s="30">
        <v>3222.6104496283197</v>
      </c>
      <c r="N599" s="30">
        <v>1386.480917633854</v>
      </c>
      <c r="O599" s="30">
        <v>1337.4708637733784</v>
      </c>
      <c r="P599" s="30">
        <v>-1812.1111226933472</v>
      </c>
      <c r="R599">
        <v>591</v>
      </c>
      <c r="S599" s="30">
        <v>292.48920217041507</v>
      </c>
      <c r="T599" s="30">
        <v>202.82716957184448</v>
      </c>
      <c r="U599" s="30">
        <v>216.77797385551557</v>
      </c>
      <c r="V599" s="30">
        <v>0</v>
      </c>
      <c r="W599" s="30">
        <v>127.90040842304091</v>
      </c>
      <c r="X599" s="30">
        <v>0</v>
      </c>
    </row>
    <row r="600" spans="10:24" x14ac:dyDescent="0.25">
      <c r="J600">
        <v>592</v>
      </c>
      <c r="K600" s="30">
        <v>3192.7634079759941</v>
      </c>
      <c r="L600" s="30">
        <v>3212.8691301327167</v>
      </c>
      <c r="M600" s="30">
        <v>3021.8470168771482</v>
      </c>
      <c r="N600" s="30">
        <v>-406.36049104791527</v>
      </c>
      <c r="O600" s="30">
        <v>1999.2716045895786</v>
      </c>
      <c r="P600" s="30">
        <v>-1000.974020079113</v>
      </c>
      <c r="R600">
        <v>592</v>
      </c>
      <c r="S600" s="30">
        <v>250.376879576862</v>
      </c>
      <c r="T600" s="30">
        <v>372.46123507234825</v>
      </c>
      <c r="U600" s="30">
        <v>79.233829863201549</v>
      </c>
      <c r="V600" s="30">
        <v>24.153984577470169</v>
      </c>
      <c r="W600" s="30">
        <v>35.666492919424172</v>
      </c>
      <c r="X600" s="30">
        <v>0</v>
      </c>
    </row>
    <row r="601" spans="10:24" x14ac:dyDescent="0.25">
      <c r="J601">
        <v>593</v>
      </c>
      <c r="K601" s="30">
        <v>1623.6199635380317</v>
      </c>
      <c r="L601" s="30">
        <v>3687.3952091649744</v>
      </c>
      <c r="M601" s="30">
        <v>2149.8906540839221</v>
      </c>
      <c r="N601" s="30">
        <v>-339.12613228456576</v>
      </c>
      <c r="O601" s="30">
        <v>1787.2033165803423</v>
      </c>
      <c r="P601" s="30">
        <v>393.8716481421352</v>
      </c>
      <c r="R601">
        <v>593</v>
      </c>
      <c r="S601" s="30">
        <v>276.12675211848324</v>
      </c>
      <c r="T601" s="30">
        <v>347.26822143286495</v>
      </c>
      <c r="U601" s="30">
        <v>130.9538136075235</v>
      </c>
      <c r="V601" s="30">
        <v>0</v>
      </c>
      <c r="W601" s="30">
        <v>70.208675799730031</v>
      </c>
      <c r="X601" s="30">
        <v>0</v>
      </c>
    </row>
    <row r="602" spans="10:24" x14ac:dyDescent="0.25">
      <c r="J602">
        <v>594</v>
      </c>
      <c r="K602" s="30">
        <v>2220.3572429957926</v>
      </c>
      <c r="L602" s="30">
        <v>2957.7573180204135</v>
      </c>
      <c r="M602" s="30">
        <v>3550.8335815021601</v>
      </c>
      <c r="N602" s="30">
        <v>1329.4460233064547</v>
      </c>
      <c r="O602" s="30">
        <v>472.81484807194738</v>
      </c>
      <c r="P602" s="30">
        <v>345.38707193541995</v>
      </c>
      <c r="R602">
        <v>594</v>
      </c>
      <c r="S602" s="30">
        <v>265.60143508141186</v>
      </c>
      <c r="T602" s="30">
        <v>191.93776674813085</v>
      </c>
      <c r="U602" s="30">
        <v>133.91785316969407</v>
      </c>
      <c r="V602" s="30">
        <v>0</v>
      </c>
      <c r="W602" s="30">
        <v>0</v>
      </c>
      <c r="X602" s="30">
        <v>0</v>
      </c>
    </row>
    <row r="603" spans="10:24" x14ac:dyDescent="0.25">
      <c r="J603">
        <v>595</v>
      </c>
      <c r="K603" s="30">
        <v>3575.221955133276</v>
      </c>
      <c r="L603" s="30">
        <v>2895.5580936704705</v>
      </c>
      <c r="M603" s="30">
        <v>3689.7488877799638</v>
      </c>
      <c r="N603" s="30">
        <v>-343.48613760605531</v>
      </c>
      <c r="O603" s="30">
        <v>2534.8065664989099</v>
      </c>
      <c r="P603" s="30">
        <v>-1705.8963590190633</v>
      </c>
      <c r="R603">
        <v>595</v>
      </c>
      <c r="S603" s="30">
        <v>383.71075013206672</v>
      </c>
      <c r="T603" s="30">
        <v>316.66047872824674</v>
      </c>
      <c r="U603" s="30">
        <v>67.980553607355262</v>
      </c>
      <c r="V603" s="30">
        <v>7.6425173101649762</v>
      </c>
      <c r="W603" s="30">
        <v>0</v>
      </c>
      <c r="X603" s="30">
        <v>0</v>
      </c>
    </row>
    <row r="604" spans="10:24" x14ac:dyDescent="0.25">
      <c r="J604">
        <v>596</v>
      </c>
      <c r="K604" s="30">
        <v>1757.6907260570442</v>
      </c>
      <c r="L604" s="30">
        <v>4058.3665366778328</v>
      </c>
      <c r="M604" s="30">
        <v>2863.0845692051093</v>
      </c>
      <c r="N604" s="30">
        <v>1476.2852365872268</v>
      </c>
      <c r="O604" s="30">
        <v>747.87652801968943</v>
      </c>
      <c r="P604" s="30">
        <v>608.81478222877831</v>
      </c>
      <c r="R604">
        <v>596</v>
      </c>
      <c r="S604" s="30">
        <v>164.38772502922029</v>
      </c>
      <c r="T604" s="30">
        <v>250.00175506526659</v>
      </c>
      <c r="U604" s="30">
        <v>163.7366790455518</v>
      </c>
      <c r="V604" s="30">
        <v>48.410184288632649</v>
      </c>
      <c r="W604" s="30">
        <v>0</v>
      </c>
      <c r="X604" s="30">
        <v>0</v>
      </c>
    </row>
    <row r="605" spans="10:24" x14ac:dyDescent="0.25">
      <c r="J605">
        <v>597</v>
      </c>
      <c r="K605" s="30">
        <v>1994.551656138513</v>
      </c>
      <c r="L605" s="30">
        <v>2953.616240695389</v>
      </c>
      <c r="M605" s="30">
        <v>2701.3291157976473</v>
      </c>
      <c r="N605" s="30">
        <v>2068.9192752874624</v>
      </c>
      <c r="O605" s="30">
        <v>924.91498393113125</v>
      </c>
      <c r="P605" s="30">
        <v>-478.87865823596712</v>
      </c>
      <c r="R605">
        <v>597</v>
      </c>
      <c r="S605" s="30">
        <v>219.62478787533109</v>
      </c>
      <c r="T605" s="30">
        <v>420.4565259889099</v>
      </c>
      <c r="U605" s="30">
        <v>116.0942509037933</v>
      </c>
      <c r="V605" s="30">
        <v>0</v>
      </c>
      <c r="W605" s="30">
        <v>0</v>
      </c>
      <c r="X605" s="30">
        <v>0</v>
      </c>
    </row>
    <row r="606" spans="10:24" x14ac:dyDescent="0.25">
      <c r="J606">
        <v>598</v>
      </c>
      <c r="K606" s="30">
        <v>2938.0717275824995</v>
      </c>
      <c r="L606" s="30">
        <v>2980.0392046102043</v>
      </c>
      <c r="M606" s="30">
        <v>2689.3465422012405</v>
      </c>
      <c r="N606" s="30">
        <v>-321.37825117360444</v>
      </c>
      <c r="O606" s="30">
        <v>1460.9181173569905</v>
      </c>
      <c r="P606" s="30">
        <v>-1143.2544234771422</v>
      </c>
      <c r="R606">
        <v>598</v>
      </c>
      <c r="S606" s="30">
        <v>224.98573043611145</v>
      </c>
      <c r="T606" s="30">
        <v>268.11468034173043</v>
      </c>
      <c r="U606" s="30">
        <v>69.743560436426378</v>
      </c>
      <c r="V606" s="30">
        <v>0</v>
      </c>
      <c r="W606" s="30">
        <v>0</v>
      </c>
      <c r="X606" s="30">
        <v>0</v>
      </c>
    </row>
    <row r="607" spans="10:24" x14ac:dyDescent="0.25">
      <c r="J607">
        <v>599</v>
      </c>
      <c r="K607" s="30">
        <v>2858.3347654349518</v>
      </c>
      <c r="L607" s="30">
        <v>2555.263458606913</v>
      </c>
      <c r="M607" s="30">
        <v>739.21734496565659</v>
      </c>
      <c r="N607" s="30">
        <v>2314.4137676440323</v>
      </c>
      <c r="O607" s="30">
        <v>1646.8866424913995</v>
      </c>
      <c r="P607" s="30">
        <v>710.36085159508002</v>
      </c>
      <c r="R607">
        <v>599</v>
      </c>
      <c r="S607" s="30">
        <v>171.63135326629902</v>
      </c>
      <c r="T607" s="30">
        <v>341.72658302408587</v>
      </c>
      <c r="U607" s="30">
        <v>228.20603711875287</v>
      </c>
      <c r="V607" s="30">
        <v>0</v>
      </c>
      <c r="W607" s="30">
        <v>0</v>
      </c>
      <c r="X607" s="30">
        <v>0</v>
      </c>
    </row>
    <row r="608" spans="10:24" x14ac:dyDescent="0.25">
      <c r="J608">
        <v>600</v>
      </c>
      <c r="K608" s="30">
        <v>3781.8839957499677</v>
      </c>
      <c r="L608" s="30">
        <v>3081.8081090619489</v>
      </c>
      <c r="M608" s="30">
        <v>1974.6292476446633</v>
      </c>
      <c r="N608" s="30">
        <v>1435.0255189985146</v>
      </c>
      <c r="O608" s="30">
        <v>1076.1085605338994</v>
      </c>
      <c r="P608" s="30">
        <v>130.0278409964103</v>
      </c>
      <c r="R608">
        <v>600</v>
      </c>
      <c r="S608" s="30">
        <v>349.5075437038268</v>
      </c>
      <c r="T608" s="30">
        <v>189.15144225064819</v>
      </c>
      <c r="U608" s="30">
        <v>269.33018959783925</v>
      </c>
      <c r="V608" s="30">
        <v>0</v>
      </c>
      <c r="W608" s="30">
        <v>39.565277487299227</v>
      </c>
      <c r="X608" s="30">
        <v>0</v>
      </c>
    </row>
    <row r="609" spans="10:24" x14ac:dyDescent="0.25">
      <c r="J609">
        <v>601</v>
      </c>
      <c r="K609" s="30">
        <v>4388.684806195075</v>
      </c>
      <c r="L609" s="30">
        <v>4381.0304658065179</v>
      </c>
      <c r="M609" s="30">
        <v>3954.219567312758</v>
      </c>
      <c r="N609" s="30">
        <v>323.27517209529651</v>
      </c>
      <c r="O609" s="30">
        <v>2164.1530936787249</v>
      </c>
      <c r="P609" s="30">
        <v>-682.43774397309517</v>
      </c>
      <c r="R609">
        <v>601</v>
      </c>
      <c r="S609" s="30">
        <v>266.54280758104306</v>
      </c>
      <c r="T609" s="30">
        <v>323.35638567097544</v>
      </c>
      <c r="U609" s="30">
        <v>186.75916736168534</v>
      </c>
      <c r="V609" s="30">
        <v>31.124058520973335</v>
      </c>
      <c r="W609" s="30">
        <v>0</v>
      </c>
      <c r="X609" s="30">
        <v>0</v>
      </c>
    </row>
    <row r="610" spans="10:24" x14ac:dyDescent="0.25">
      <c r="J610">
        <v>602</v>
      </c>
      <c r="K610" s="30">
        <v>2468.4621932654513</v>
      </c>
      <c r="L610" s="30">
        <v>2790.779421433921</v>
      </c>
      <c r="M610" s="30">
        <v>2719.3633907900985</v>
      </c>
      <c r="N610" s="30">
        <v>-1448.7954598533897</v>
      </c>
      <c r="O610" s="30">
        <v>1898.3571406031097</v>
      </c>
      <c r="P610" s="30">
        <v>-1563.9187409187671</v>
      </c>
      <c r="R610">
        <v>602</v>
      </c>
      <c r="S610" s="30">
        <v>173.27764884993655</v>
      </c>
      <c r="T610" s="30">
        <v>227.87520143811321</v>
      </c>
      <c r="U610" s="30">
        <v>69.395168033232721</v>
      </c>
      <c r="V610" s="30">
        <v>0</v>
      </c>
      <c r="W610" s="30">
        <v>0</v>
      </c>
      <c r="X610" s="30">
        <v>0</v>
      </c>
    </row>
    <row r="611" spans="10:24" x14ac:dyDescent="0.25">
      <c r="J611">
        <v>603</v>
      </c>
      <c r="K611" s="30">
        <v>3852.7491176591566</v>
      </c>
      <c r="L611" s="30">
        <v>3914.9341231635708</v>
      </c>
      <c r="M611" s="30">
        <v>1748.7177481432323</v>
      </c>
      <c r="N611" s="30">
        <v>-1676.0427786576247</v>
      </c>
      <c r="O611" s="30">
        <v>1437.9122392319778</v>
      </c>
      <c r="P611" s="30">
        <v>166.65103082414589</v>
      </c>
      <c r="R611">
        <v>603</v>
      </c>
      <c r="S611" s="30">
        <v>289.03524175136818</v>
      </c>
      <c r="T611" s="30">
        <v>290.46311098704456</v>
      </c>
      <c r="U611" s="30">
        <v>88.217889823561222</v>
      </c>
      <c r="V611" s="30">
        <v>43.015353285968899</v>
      </c>
      <c r="W611" s="30">
        <v>13.409814289979408</v>
      </c>
      <c r="X611" s="30">
        <v>0</v>
      </c>
    </row>
    <row r="612" spans="10:24" x14ac:dyDescent="0.25">
      <c r="J612">
        <v>604</v>
      </c>
      <c r="K612" s="30">
        <v>2375.0489468680125</v>
      </c>
      <c r="L612" s="30">
        <v>3024.0534619374025</v>
      </c>
      <c r="M612" s="30">
        <v>3391.8881236596708</v>
      </c>
      <c r="N612" s="30">
        <v>-1105.1088965083309</v>
      </c>
      <c r="O612" s="30">
        <v>-854.11903828510731</v>
      </c>
      <c r="P612" s="30">
        <v>-660.66744251163618</v>
      </c>
      <c r="R612">
        <v>604</v>
      </c>
      <c r="S612" s="30">
        <v>301.80909520231307</v>
      </c>
      <c r="T612" s="30">
        <v>417.64040912251028</v>
      </c>
      <c r="U612" s="30">
        <v>221.69556960008879</v>
      </c>
      <c r="V612" s="30">
        <v>0</v>
      </c>
      <c r="W612" s="30">
        <v>0</v>
      </c>
      <c r="X612" s="30">
        <v>0</v>
      </c>
    </row>
    <row r="613" spans="10:24" x14ac:dyDescent="0.25">
      <c r="J613">
        <v>605</v>
      </c>
      <c r="K613" s="30">
        <v>2224.4901594118724</v>
      </c>
      <c r="L613" s="30">
        <v>2755.0805784707009</v>
      </c>
      <c r="M613" s="30">
        <v>2341.375378787312</v>
      </c>
      <c r="N613" s="30">
        <v>1001.7387755421869</v>
      </c>
      <c r="O613" s="30">
        <v>1868.09163760513</v>
      </c>
      <c r="P613" s="30">
        <v>-2657.8887937453319</v>
      </c>
      <c r="R613">
        <v>605</v>
      </c>
      <c r="S613" s="30">
        <v>308.77100962238131</v>
      </c>
      <c r="T613" s="30">
        <v>236.56094573572335</v>
      </c>
      <c r="U613" s="30">
        <v>91.408433793042548</v>
      </c>
      <c r="V613" s="30">
        <v>0</v>
      </c>
      <c r="W613" s="30">
        <v>0</v>
      </c>
      <c r="X613" s="30">
        <v>0</v>
      </c>
    </row>
    <row r="614" spans="10:24" x14ac:dyDescent="0.25">
      <c r="J614">
        <v>606</v>
      </c>
      <c r="K614" s="30">
        <v>2710.5120279393777</v>
      </c>
      <c r="L614" s="30">
        <v>3767.8040915127608</v>
      </c>
      <c r="M614" s="30">
        <v>2609.5302466863395</v>
      </c>
      <c r="N614" s="30">
        <v>609.00117472324291</v>
      </c>
      <c r="O614" s="30">
        <v>2994.2405487799551</v>
      </c>
      <c r="P614" s="30">
        <v>-303.02267966168529</v>
      </c>
      <c r="R614">
        <v>606</v>
      </c>
      <c r="S614" s="30">
        <v>290.5571491770076</v>
      </c>
      <c r="T614" s="30">
        <v>342.94059714808844</v>
      </c>
      <c r="U614" s="30">
        <v>83.456917175368972</v>
      </c>
      <c r="V614" s="30">
        <v>0</v>
      </c>
      <c r="W614" s="30">
        <v>0</v>
      </c>
      <c r="X614" s="30">
        <v>0</v>
      </c>
    </row>
    <row r="615" spans="10:24" x14ac:dyDescent="0.25">
      <c r="J615">
        <v>607</v>
      </c>
      <c r="K615" s="30">
        <v>3061.9055900652147</v>
      </c>
      <c r="L615" s="30">
        <v>2132.7574226187935</v>
      </c>
      <c r="M615" s="30">
        <v>2684.5232156040047</v>
      </c>
      <c r="N615" s="30">
        <v>-238.69454190578654</v>
      </c>
      <c r="O615" s="30">
        <v>258.75636190334262</v>
      </c>
      <c r="P615" s="30">
        <v>1505.3099664205747</v>
      </c>
      <c r="R615">
        <v>607</v>
      </c>
      <c r="S615" s="30">
        <v>344.60169197993042</v>
      </c>
      <c r="T615" s="30">
        <v>322.27114822501227</v>
      </c>
      <c r="U615" s="30">
        <v>150.68910135754987</v>
      </c>
      <c r="V615" s="30">
        <v>0</v>
      </c>
      <c r="W615" s="30">
        <v>0</v>
      </c>
      <c r="X615" s="30">
        <v>0</v>
      </c>
    </row>
    <row r="616" spans="10:24" x14ac:dyDescent="0.25">
      <c r="J616">
        <v>608</v>
      </c>
      <c r="K616" s="30">
        <v>1727.9674468716235</v>
      </c>
      <c r="L616" s="30">
        <v>4185.6092981868596</v>
      </c>
      <c r="M616" s="30">
        <v>3621.0139004847542</v>
      </c>
      <c r="N616" s="30">
        <v>1062.9537835188976</v>
      </c>
      <c r="O616" s="30">
        <v>542.20901982891519</v>
      </c>
      <c r="P616" s="30">
        <v>1881.935577068075</v>
      </c>
      <c r="R616">
        <v>608</v>
      </c>
      <c r="S616" s="30">
        <v>260.12313831338406</v>
      </c>
      <c r="T616" s="30">
        <v>181.67764755383939</v>
      </c>
      <c r="U616" s="30">
        <v>118.87511758157763</v>
      </c>
      <c r="V616" s="30">
        <v>0</v>
      </c>
      <c r="W616" s="30">
        <v>66.593613529045683</v>
      </c>
      <c r="X616" s="30">
        <v>0</v>
      </c>
    </row>
    <row r="617" spans="10:24" x14ac:dyDescent="0.25">
      <c r="J617">
        <v>609</v>
      </c>
      <c r="K617" s="30">
        <v>3756.8620366589603</v>
      </c>
      <c r="L617" s="30">
        <v>2513.7690285639396</v>
      </c>
      <c r="M617" s="30">
        <v>2881.1630557677313</v>
      </c>
      <c r="N617" s="30">
        <v>-426.25260692701522</v>
      </c>
      <c r="O617" s="30">
        <v>1493.4469235656352</v>
      </c>
      <c r="P617" s="30">
        <v>-639.87843956468168</v>
      </c>
      <c r="R617">
        <v>609</v>
      </c>
      <c r="S617" s="30">
        <v>121.34011986516407</v>
      </c>
      <c r="T617" s="30">
        <v>230.18483292773328</v>
      </c>
      <c r="U617" s="30">
        <v>108.69695342416225</v>
      </c>
      <c r="V617" s="30">
        <v>0</v>
      </c>
      <c r="W617" s="30">
        <v>0</v>
      </c>
      <c r="X617" s="30">
        <v>0</v>
      </c>
    </row>
    <row r="618" spans="10:24" x14ac:dyDescent="0.25">
      <c r="J618">
        <v>610</v>
      </c>
      <c r="K618" s="30">
        <v>2765.9911423892099</v>
      </c>
      <c r="L618" s="30">
        <v>3922.5034553707469</v>
      </c>
      <c r="M618" s="30">
        <v>2627.6250563237977</v>
      </c>
      <c r="N618" s="30">
        <v>491.82268382536404</v>
      </c>
      <c r="O618" s="30">
        <v>2605.6978270965892</v>
      </c>
      <c r="P618" s="30">
        <v>371.48219197007984</v>
      </c>
      <c r="R618">
        <v>610</v>
      </c>
      <c r="S618" s="30">
        <v>302.64278849746836</v>
      </c>
      <c r="T618" s="30">
        <v>296.77357109142122</v>
      </c>
      <c r="U618" s="30">
        <v>284.08175984101456</v>
      </c>
      <c r="V618" s="30">
        <v>0</v>
      </c>
      <c r="W618" s="30">
        <v>0</v>
      </c>
      <c r="X618" s="30">
        <v>0</v>
      </c>
    </row>
    <row r="619" spans="10:24" x14ac:dyDescent="0.25">
      <c r="J619">
        <v>611</v>
      </c>
      <c r="K619" s="30">
        <v>2583.348951141732</v>
      </c>
      <c r="L619" s="30">
        <v>2724.8957669304868</v>
      </c>
      <c r="M619" s="30">
        <v>2002.6752357709461</v>
      </c>
      <c r="N619" s="30">
        <v>1563.6941661416213</v>
      </c>
      <c r="O619" s="30">
        <v>1323.7098723749132</v>
      </c>
      <c r="P619" s="30">
        <v>633.40224164131268</v>
      </c>
      <c r="R619">
        <v>611</v>
      </c>
      <c r="S619" s="30">
        <v>308.95445228123066</v>
      </c>
      <c r="T619" s="30">
        <v>397.96275762138572</v>
      </c>
      <c r="U619" s="30">
        <v>193.75871407407706</v>
      </c>
      <c r="V619" s="30">
        <v>0</v>
      </c>
      <c r="W619" s="30">
        <v>214.00073432046082</v>
      </c>
      <c r="X619" s="30">
        <v>0</v>
      </c>
    </row>
    <row r="620" spans="10:24" x14ac:dyDescent="0.25">
      <c r="J620">
        <v>612</v>
      </c>
      <c r="K620" s="30">
        <v>3301.2622442827096</v>
      </c>
      <c r="L620" s="30">
        <v>2922.2074714913047</v>
      </c>
      <c r="M620" s="30">
        <v>2155.1060875582853</v>
      </c>
      <c r="N620" s="30">
        <v>-798.95479747505306</v>
      </c>
      <c r="O620" s="30">
        <v>227.72172006220808</v>
      </c>
      <c r="P620" s="30">
        <v>743.91238669882659</v>
      </c>
      <c r="R620">
        <v>612</v>
      </c>
      <c r="S620" s="30">
        <v>192.83955833349586</v>
      </c>
      <c r="T620" s="30">
        <v>279.87995174596347</v>
      </c>
      <c r="U620" s="30">
        <v>125.8634540174109</v>
      </c>
      <c r="V620" s="30">
        <v>0</v>
      </c>
      <c r="W620" s="30">
        <v>0</v>
      </c>
      <c r="X620" s="30">
        <v>0</v>
      </c>
    </row>
    <row r="621" spans="10:24" x14ac:dyDescent="0.25">
      <c r="J621">
        <v>613</v>
      </c>
      <c r="K621" s="30">
        <v>3346.4961448989543</v>
      </c>
      <c r="L621" s="30">
        <v>2552.9914210039778</v>
      </c>
      <c r="M621" s="30">
        <v>3279.4876597680277</v>
      </c>
      <c r="N621" s="30">
        <v>875.79666163799902</v>
      </c>
      <c r="O621" s="30">
        <v>156.63717938668469</v>
      </c>
      <c r="P621" s="30">
        <v>-1026.6362561290553</v>
      </c>
      <c r="R621">
        <v>613</v>
      </c>
      <c r="S621" s="30">
        <v>246.70913803215615</v>
      </c>
      <c r="T621" s="30">
        <v>310.91785571996451</v>
      </c>
      <c r="U621" s="30">
        <v>201.18813318010083</v>
      </c>
      <c r="V621" s="30">
        <v>5.258582579605104</v>
      </c>
      <c r="W621" s="30">
        <v>73.906043658644876</v>
      </c>
      <c r="X621" s="30">
        <v>0</v>
      </c>
    </row>
    <row r="622" spans="10:24" x14ac:dyDescent="0.25">
      <c r="J622">
        <v>614</v>
      </c>
      <c r="K622" s="30">
        <v>3973.2415098650613</v>
      </c>
      <c r="L622" s="30">
        <v>2652.2766988634176</v>
      </c>
      <c r="M622" s="30">
        <v>3907.8982800314129</v>
      </c>
      <c r="N622" s="30">
        <v>1611.2885514377786</v>
      </c>
      <c r="O622" s="30">
        <v>-899.08438908685275</v>
      </c>
      <c r="P622" s="30">
        <v>-2880.3839378513312</v>
      </c>
      <c r="R622">
        <v>614</v>
      </c>
      <c r="S622" s="30">
        <v>313.1409511890804</v>
      </c>
      <c r="T622" s="30">
        <v>261.6871766418891</v>
      </c>
      <c r="U622" s="30">
        <v>221.93039722297692</v>
      </c>
      <c r="V622" s="30">
        <v>0</v>
      </c>
      <c r="W622" s="30">
        <v>0</v>
      </c>
      <c r="X622" s="30">
        <v>0</v>
      </c>
    </row>
    <row r="623" spans="10:24" x14ac:dyDescent="0.25">
      <c r="J623">
        <v>615</v>
      </c>
      <c r="K623" s="30">
        <v>2638.1009736414503</v>
      </c>
      <c r="L623" s="30">
        <v>2967.4824135446306</v>
      </c>
      <c r="M623" s="30">
        <v>2636.883684762221</v>
      </c>
      <c r="N623" s="30">
        <v>-293.26848905121005</v>
      </c>
      <c r="O623" s="30">
        <v>903.63267282641573</v>
      </c>
      <c r="P623" s="30">
        <v>-1953.6711388633885</v>
      </c>
      <c r="R623">
        <v>615</v>
      </c>
      <c r="S623" s="30">
        <v>177.04904206847789</v>
      </c>
      <c r="T623" s="30">
        <v>253.60309752740659</v>
      </c>
      <c r="U623" s="30">
        <v>149.22323651498493</v>
      </c>
      <c r="V623" s="30">
        <v>0</v>
      </c>
      <c r="W623" s="30">
        <v>44.466743116033967</v>
      </c>
      <c r="X623" s="30">
        <v>0</v>
      </c>
    </row>
    <row r="624" spans="10:24" x14ac:dyDescent="0.25">
      <c r="J624">
        <v>616</v>
      </c>
      <c r="K624" s="30">
        <v>2537.0293537472448</v>
      </c>
      <c r="L624" s="30">
        <v>3646.0479619979174</v>
      </c>
      <c r="M624" s="30">
        <v>2261.3733832859243</v>
      </c>
      <c r="N624" s="30">
        <v>120.87808725501418</v>
      </c>
      <c r="O624" s="30">
        <v>-363.87293906691229</v>
      </c>
      <c r="P624" s="30">
        <v>-1069.281087949912</v>
      </c>
      <c r="R624">
        <v>616</v>
      </c>
      <c r="S624" s="30">
        <v>247.9640741379327</v>
      </c>
      <c r="T624" s="30">
        <v>198.51818208973339</v>
      </c>
      <c r="U624" s="30">
        <v>107.77983903489462</v>
      </c>
      <c r="V624" s="30">
        <v>0</v>
      </c>
      <c r="W624" s="30">
        <v>0</v>
      </c>
      <c r="X624" s="30">
        <v>0</v>
      </c>
    </row>
    <row r="625" spans="10:24" x14ac:dyDescent="0.25">
      <c r="J625">
        <v>617</v>
      </c>
      <c r="K625" s="30">
        <v>3760.3913493986634</v>
      </c>
      <c r="L625" s="30">
        <v>2588.7327026693015</v>
      </c>
      <c r="M625" s="30">
        <v>2113.3298177345769</v>
      </c>
      <c r="N625" s="30">
        <v>-0.79246809636151738</v>
      </c>
      <c r="O625" s="30">
        <v>881.67445489547117</v>
      </c>
      <c r="P625" s="30">
        <v>-1834.3369179034917</v>
      </c>
      <c r="R625">
        <v>617</v>
      </c>
      <c r="S625" s="30">
        <v>222.75094352752194</v>
      </c>
      <c r="T625" s="30">
        <v>358.28925796460408</v>
      </c>
      <c r="U625" s="30">
        <v>214.95894675943089</v>
      </c>
      <c r="V625" s="30">
        <v>192.96095079486804</v>
      </c>
      <c r="W625" s="30">
        <v>139.50682620569341</v>
      </c>
      <c r="X625" s="30">
        <v>0</v>
      </c>
    </row>
    <row r="626" spans="10:24" x14ac:dyDescent="0.25">
      <c r="J626">
        <v>618</v>
      </c>
      <c r="K626" s="30">
        <v>3704.4849054020424</v>
      </c>
      <c r="L626" s="30">
        <v>3952.8068676823691</v>
      </c>
      <c r="M626" s="30">
        <v>3854.9319826980818</v>
      </c>
      <c r="N626" s="30">
        <v>-2242.5228500481699</v>
      </c>
      <c r="O626" s="30">
        <v>944.73388459143462</v>
      </c>
      <c r="P626" s="30">
        <v>1659.795083633293</v>
      </c>
      <c r="R626">
        <v>618</v>
      </c>
      <c r="S626" s="30">
        <v>374.90178905748235</v>
      </c>
      <c r="T626" s="30">
        <v>302.37921901173644</v>
      </c>
      <c r="U626" s="30">
        <v>124.61846871920039</v>
      </c>
      <c r="V626" s="30">
        <v>0</v>
      </c>
      <c r="W626" s="30">
        <v>0</v>
      </c>
      <c r="X626" s="30">
        <v>0</v>
      </c>
    </row>
    <row r="627" spans="10:24" x14ac:dyDescent="0.25">
      <c r="J627">
        <v>619</v>
      </c>
      <c r="K627" s="30">
        <v>2485.7924788931832</v>
      </c>
      <c r="L627" s="30">
        <v>2980.6534219452565</v>
      </c>
      <c r="M627" s="30">
        <v>3720.2498560609006</v>
      </c>
      <c r="N627" s="30">
        <v>2092.8335382501264</v>
      </c>
      <c r="O627" s="30">
        <v>3427.3185848878484</v>
      </c>
      <c r="P627" s="30">
        <v>-1362.2720225658568</v>
      </c>
      <c r="R627">
        <v>619</v>
      </c>
      <c r="S627" s="30">
        <v>208.88726310992661</v>
      </c>
      <c r="T627" s="30">
        <v>281.45729254293735</v>
      </c>
      <c r="U627" s="30">
        <v>233.48185875155303</v>
      </c>
      <c r="V627" s="30">
        <v>0</v>
      </c>
      <c r="W627" s="30">
        <v>0</v>
      </c>
      <c r="X627" s="30">
        <v>0</v>
      </c>
    </row>
    <row r="628" spans="10:24" x14ac:dyDescent="0.25">
      <c r="J628">
        <v>620</v>
      </c>
      <c r="K628" s="30">
        <v>3648.1425203812851</v>
      </c>
      <c r="L628" s="30">
        <v>3432.1241803765456</v>
      </c>
      <c r="M628" s="30">
        <v>2215.4966727141973</v>
      </c>
      <c r="N628" s="30">
        <v>982.65219894876645</v>
      </c>
      <c r="O628" s="30">
        <v>1373.021475343251</v>
      </c>
      <c r="P628" s="30">
        <v>-1126.08796316385</v>
      </c>
      <c r="R628">
        <v>620</v>
      </c>
      <c r="S628" s="30">
        <v>181.48307217284975</v>
      </c>
      <c r="T628" s="30">
        <v>332.04278726767404</v>
      </c>
      <c r="U628" s="30">
        <v>186.58566659483097</v>
      </c>
      <c r="V628" s="30">
        <v>0</v>
      </c>
      <c r="W628" s="30">
        <v>0</v>
      </c>
      <c r="X628" s="30">
        <v>0</v>
      </c>
    </row>
    <row r="629" spans="10:24" x14ac:dyDescent="0.25">
      <c r="J629">
        <v>621</v>
      </c>
      <c r="K629" s="30">
        <v>3131.0551167958256</v>
      </c>
      <c r="L629" s="30">
        <v>4613.2172087493764</v>
      </c>
      <c r="M629" s="30">
        <v>2761.5294804833384</v>
      </c>
      <c r="N629" s="30">
        <v>1746.5606485671442</v>
      </c>
      <c r="O629" s="30">
        <v>2015.0104740289407</v>
      </c>
      <c r="P629" s="30">
        <v>-596.46945996279737</v>
      </c>
      <c r="R629">
        <v>621</v>
      </c>
      <c r="S629" s="30">
        <v>392.46803431787407</v>
      </c>
      <c r="T629" s="30">
        <v>318.57249580091548</v>
      </c>
      <c r="U629" s="30">
        <v>301.21353995707739</v>
      </c>
      <c r="V629" s="30">
        <v>0</v>
      </c>
      <c r="W629" s="30">
        <v>0</v>
      </c>
      <c r="X629" s="30">
        <v>0</v>
      </c>
    </row>
    <row r="630" spans="10:24" x14ac:dyDescent="0.25">
      <c r="J630">
        <v>622</v>
      </c>
      <c r="K630" s="30">
        <v>4013.4654125928405</v>
      </c>
      <c r="L630" s="30">
        <v>2842.7098030006782</v>
      </c>
      <c r="M630" s="30">
        <v>3381.7085172864645</v>
      </c>
      <c r="N630" s="30">
        <v>-56.668700294856535</v>
      </c>
      <c r="O630" s="30">
        <v>2034.0454611941041</v>
      </c>
      <c r="P630" s="30">
        <v>-1258.8959199843894</v>
      </c>
      <c r="R630">
        <v>622</v>
      </c>
      <c r="S630" s="30">
        <v>146.06866038942263</v>
      </c>
      <c r="T630" s="30">
        <v>255.4821419495679</v>
      </c>
      <c r="U630" s="30">
        <v>140.73811478168301</v>
      </c>
      <c r="V630" s="30">
        <v>61.704453303175683</v>
      </c>
      <c r="W630" s="30">
        <v>67.14128079425484</v>
      </c>
      <c r="X630" s="30">
        <v>0</v>
      </c>
    </row>
    <row r="631" spans="10:24" x14ac:dyDescent="0.25">
      <c r="J631">
        <v>623</v>
      </c>
      <c r="K631" s="30">
        <v>4051.1981011339512</v>
      </c>
      <c r="L631" s="30">
        <v>4057.9205230664234</v>
      </c>
      <c r="M631" s="30">
        <v>3726.5389627009208</v>
      </c>
      <c r="N631" s="30">
        <v>1069.6157491192216</v>
      </c>
      <c r="O631" s="30">
        <v>-489.59740447306103</v>
      </c>
      <c r="P631" s="30">
        <v>-428.40583368597709</v>
      </c>
      <c r="R631">
        <v>623</v>
      </c>
      <c r="S631" s="30">
        <v>297.43020715636072</v>
      </c>
      <c r="T631" s="30">
        <v>194.28718632117369</v>
      </c>
      <c r="U631" s="30">
        <v>209.56438166054755</v>
      </c>
      <c r="V631" s="30">
        <v>0</v>
      </c>
      <c r="W631" s="30">
        <v>0</v>
      </c>
      <c r="X631" s="30">
        <v>0</v>
      </c>
    </row>
    <row r="632" spans="10:24" x14ac:dyDescent="0.25">
      <c r="J632">
        <v>624</v>
      </c>
      <c r="K632" s="30">
        <v>3834.9129670692</v>
      </c>
      <c r="L632" s="30">
        <v>2677.3726457939797</v>
      </c>
      <c r="M632" s="30">
        <v>2603.8149987822694</v>
      </c>
      <c r="N632" s="30">
        <v>-1437.8313635775348</v>
      </c>
      <c r="O632" s="30">
        <v>2123.8854018818984</v>
      </c>
      <c r="P632" s="30">
        <v>-303.8089166970758</v>
      </c>
      <c r="R632">
        <v>624</v>
      </c>
      <c r="S632" s="30">
        <v>346.70382149703693</v>
      </c>
      <c r="T632" s="30">
        <v>367.29693526330487</v>
      </c>
      <c r="U632" s="30">
        <v>24.203067269289136</v>
      </c>
      <c r="V632" s="30">
        <v>0</v>
      </c>
      <c r="W632" s="30">
        <v>0</v>
      </c>
      <c r="X632" s="30">
        <v>0</v>
      </c>
    </row>
    <row r="633" spans="10:24" x14ac:dyDescent="0.25">
      <c r="J633">
        <v>625</v>
      </c>
      <c r="K633" s="30">
        <v>4268.41045224765</v>
      </c>
      <c r="L633" s="30">
        <v>2547.4809311380882</v>
      </c>
      <c r="M633" s="30">
        <v>2264.166212273507</v>
      </c>
      <c r="N633" s="30">
        <v>960.88969193361936</v>
      </c>
      <c r="O633" s="30">
        <v>-608.63248093461607</v>
      </c>
      <c r="P633" s="30">
        <v>-2563.4260556960662</v>
      </c>
      <c r="R633">
        <v>625</v>
      </c>
      <c r="S633" s="30">
        <v>175.75973777439367</v>
      </c>
      <c r="T633" s="30">
        <v>198.28731310121861</v>
      </c>
      <c r="U633" s="30">
        <v>161.84486391095061</v>
      </c>
      <c r="V633" s="30">
        <v>0</v>
      </c>
      <c r="W633" s="30">
        <v>173.29247778912253</v>
      </c>
      <c r="X633" s="30">
        <v>0</v>
      </c>
    </row>
    <row r="634" spans="10:24" x14ac:dyDescent="0.25">
      <c r="J634">
        <v>626</v>
      </c>
      <c r="K634" s="30">
        <v>2477.7247605331759</v>
      </c>
      <c r="L634" s="30">
        <v>2169.3745144312334</v>
      </c>
      <c r="M634" s="30">
        <v>2378.4156294613713</v>
      </c>
      <c r="N634" s="30">
        <v>1617.3116663145229</v>
      </c>
      <c r="O634" s="30">
        <v>2801.0514037208923</v>
      </c>
      <c r="P634" s="30">
        <v>-500.2034934624553</v>
      </c>
      <c r="R634">
        <v>626</v>
      </c>
      <c r="S634" s="30">
        <v>248.38233012164233</v>
      </c>
      <c r="T634" s="30">
        <v>257.41119712855379</v>
      </c>
      <c r="U634" s="30">
        <v>251.05180446013372</v>
      </c>
      <c r="V634" s="30">
        <v>0</v>
      </c>
      <c r="W634" s="30">
        <v>0</v>
      </c>
      <c r="X634" s="30">
        <v>0</v>
      </c>
    </row>
    <row r="635" spans="10:24" x14ac:dyDescent="0.25">
      <c r="J635">
        <v>627</v>
      </c>
      <c r="K635" s="30">
        <v>3947.168713857141</v>
      </c>
      <c r="L635" s="30">
        <v>2931.1341727964618</v>
      </c>
      <c r="M635" s="30">
        <v>2944.240590511783</v>
      </c>
      <c r="N635" s="30">
        <v>545.33144996297142</v>
      </c>
      <c r="O635" s="30">
        <v>-912.98812127808196</v>
      </c>
      <c r="P635" s="30">
        <v>-2891.8950193267747</v>
      </c>
      <c r="R635">
        <v>627</v>
      </c>
      <c r="S635" s="30">
        <v>229.22143522619859</v>
      </c>
      <c r="T635" s="30">
        <v>382.18467297493754</v>
      </c>
      <c r="U635" s="30">
        <v>90.828288832632097</v>
      </c>
      <c r="V635" s="30">
        <v>119.94750648296235</v>
      </c>
      <c r="W635" s="30">
        <v>40.485678686770257</v>
      </c>
      <c r="X635" s="30">
        <v>0</v>
      </c>
    </row>
    <row r="636" spans="10:24" x14ac:dyDescent="0.25">
      <c r="J636">
        <v>628</v>
      </c>
      <c r="K636" s="30">
        <v>2170.3013202014645</v>
      </c>
      <c r="L636" s="30">
        <v>1844.5565669338739</v>
      </c>
      <c r="M636" s="30">
        <v>2638.8960561012618</v>
      </c>
      <c r="N636" s="30">
        <v>1818.3599676323747</v>
      </c>
      <c r="O636" s="30">
        <v>684.27490882188431</v>
      </c>
      <c r="P636" s="30">
        <v>-1246.9966495759618</v>
      </c>
      <c r="R636">
        <v>628</v>
      </c>
      <c r="S636" s="30">
        <v>182.57175858265418</v>
      </c>
      <c r="T636" s="30">
        <v>313.39393536944146</v>
      </c>
      <c r="U636" s="30">
        <v>158.3971193155644</v>
      </c>
      <c r="V636" s="30">
        <v>0</v>
      </c>
      <c r="W636" s="30">
        <v>0</v>
      </c>
      <c r="X636" s="30">
        <v>0</v>
      </c>
    </row>
    <row r="637" spans="10:24" x14ac:dyDescent="0.25">
      <c r="J637">
        <v>629</v>
      </c>
      <c r="K637" s="30">
        <v>2169.08345968296</v>
      </c>
      <c r="L637" s="30">
        <v>2752.0949348456325</v>
      </c>
      <c r="M637" s="30">
        <v>1940.3344680291666</v>
      </c>
      <c r="N637" s="30">
        <v>1431.0540992821034</v>
      </c>
      <c r="O637" s="30">
        <v>649.88261738976234</v>
      </c>
      <c r="P637" s="30">
        <v>119.51067113054251</v>
      </c>
      <c r="R637">
        <v>629</v>
      </c>
      <c r="S637" s="30">
        <v>153.76920405495912</v>
      </c>
      <c r="T637" s="30">
        <v>173.93158285813172</v>
      </c>
      <c r="U637" s="30">
        <v>130.35151249030622</v>
      </c>
      <c r="V637" s="30">
        <v>0</v>
      </c>
      <c r="W637" s="30">
        <v>0</v>
      </c>
      <c r="X637" s="30">
        <v>0</v>
      </c>
    </row>
    <row r="638" spans="10:24" x14ac:dyDescent="0.25">
      <c r="J638">
        <v>630</v>
      </c>
      <c r="K638" s="30">
        <v>2948.3155624230667</v>
      </c>
      <c r="L638" s="30">
        <v>3869.1690341733729</v>
      </c>
      <c r="M638" s="30">
        <v>1938.6343588049021</v>
      </c>
      <c r="N638" s="30">
        <v>3071.5635526097867</v>
      </c>
      <c r="O638" s="30">
        <v>1363.4673368918247</v>
      </c>
      <c r="P638" s="30">
        <v>-2724.8409491333905</v>
      </c>
      <c r="R638">
        <v>630</v>
      </c>
      <c r="S638" s="30">
        <v>236.8698150988921</v>
      </c>
      <c r="T638" s="30">
        <v>420.25380922940525</v>
      </c>
      <c r="U638" s="30">
        <v>139.056480023196</v>
      </c>
      <c r="V638" s="30">
        <v>0</v>
      </c>
      <c r="W638" s="30">
        <v>0</v>
      </c>
      <c r="X638" s="30">
        <v>0</v>
      </c>
    </row>
    <row r="639" spans="10:24" x14ac:dyDescent="0.25">
      <c r="J639">
        <v>631</v>
      </c>
      <c r="K639" s="30">
        <v>3017.3293518627938</v>
      </c>
      <c r="L639" s="30">
        <v>3012.7196458551803</v>
      </c>
      <c r="M639" s="30">
        <v>2708.0118297607191</v>
      </c>
      <c r="N639" s="30">
        <v>-601.14030996436122</v>
      </c>
      <c r="O639" s="30">
        <v>2615.3776965840834</v>
      </c>
      <c r="P639" s="30">
        <v>-1086.5836699442689</v>
      </c>
      <c r="R639">
        <v>631</v>
      </c>
      <c r="S639" s="30">
        <v>305.36672900970859</v>
      </c>
      <c r="T639" s="30">
        <v>292.88545497372928</v>
      </c>
      <c r="U639" s="30">
        <v>84.073284981512302</v>
      </c>
      <c r="V639" s="30">
        <v>75.406205451446851</v>
      </c>
      <c r="W639" s="30">
        <v>0</v>
      </c>
      <c r="X639" s="30">
        <v>0</v>
      </c>
    </row>
    <row r="640" spans="10:24" x14ac:dyDescent="0.25">
      <c r="J640">
        <v>632</v>
      </c>
      <c r="K640" s="30">
        <v>2850.4089024116238</v>
      </c>
      <c r="L640" s="30">
        <v>2853.9455706544113</v>
      </c>
      <c r="M640" s="30">
        <v>2503.6110209420035</v>
      </c>
      <c r="N640" s="30">
        <v>3971.0271956821134</v>
      </c>
      <c r="O640" s="30">
        <v>331.21062009497473</v>
      </c>
      <c r="P640" s="30">
        <v>28.193623936307631</v>
      </c>
      <c r="R640">
        <v>632</v>
      </c>
      <c r="S640" s="30">
        <v>184.88376194249435</v>
      </c>
      <c r="T640" s="30">
        <v>259.98247501538015</v>
      </c>
      <c r="U640" s="30">
        <v>23.480647318351203</v>
      </c>
      <c r="V640" s="30">
        <v>0</v>
      </c>
      <c r="W640" s="30">
        <v>0</v>
      </c>
      <c r="X640" s="30">
        <v>0</v>
      </c>
    </row>
    <row r="641" spans="10:24" x14ac:dyDescent="0.25">
      <c r="J641">
        <v>633</v>
      </c>
      <c r="K641" s="30">
        <v>2878.4665185927879</v>
      </c>
      <c r="L641" s="30">
        <v>2655.3343193633309</v>
      </c>
      <c r="M641" s="30">
        <v>2614.216588429289</v>
      </c>
      <c r="N641" s="30">
        <v>1039.2123018933426</v>
      </c>
      <c r="O641" s="30">
        <v>911.13034672842332</v>
      </c>
      <c r="P641" s="30">
        <v>-1760.9729660863841</v>
      </c>
      <c r="R641">
        <v>633</v>
      </c>
      <c r="S641" s="30">
        <v>377.98209667084575</v>
      </c>
      <c r="T641" s="30">
        <v>431.94171782033504</v>
      </c>
      <c r="U641" s="30">
        <v>192.00640177452703</v>
      </c>
      <c r="V641" s="30">
        <v>0</v>
      </c>
      <c r="W641" s="30">
        <v>0</v>
      </c>
      <c r="X641" s="30">
        <v>0</v>
      </c>
    </row>
    <row r="642" spans="10:24" x14ac:dyDescent="0.25">
      <c r="J642">
        <v>634</v>
      </c>
      <c r="K642" s="30">
        <v>1906.6627195612905</v>
      </c>
      <c r="L642" s="30">
        <v>4081.955404473797</v>
      </c>
      <c r="M642" s="30">
        <v>1824.2649778301247</v>
      </c>
      <c r="N642" s="30">
        <v>-420.12557317687151</v>
      </c>
      <c r="O642" s="30">
        <v>392.16212845048449</v>
      </c>
      <c r="P642" s="30">
        <v>503.19041542270134</v>
      </c>
      <c r="R642">
        <v>634</v>
      </c>
      <c r="S642" s="30">
        <v>213.47611159222436</v>
      </c>
      <c r="T642" s="30">
        <v>192.45898439407574</v>
      </c>
      <c r="U642" s="30">
        <v>183.10493433894959</v>
      </c>
      <c r="V642" s="30">
        <v>0</v>
      </c>
      <c r="W642" s="30">
        <v>0</v>
      </c>
      <c r="X642" s="30">
        <v>0</v>
      </c>
    </row>
    <row r="643" spans="10:24" x14ac:dyDescent="0.25">
      <c r="J643">
        <v>635</v>
      </c>
      <c r="K643" s="30">
        <v>4148.7633633535015</v>
      </c>
      <c r="L643" s="30">
        <v>4178.6017278546196</v>
      </c>
      <c r="M643" s="30">
        <v>3494.036471988285</v>
      </c>
      <c r="N643" s="30">
        <v>-541.67665041411419</v>
      </c>
      <c r="O643" s="30">
        <v>2385.1165426996367</v>
      </c>
      <c r="P643" s="30">
        <v>-734.87786670412333</v>
      </c>
      <c r="R643">
        <v>635</v>
      </c>
      <c r="S643" s="30">
        <v>218.45203737230742</v>
      </c>
      <c r="T643" s="30">
        <v>315.17214242171019</v>
      </c>
      <c r="U643" s="30">
        <v>223.83000903938859</v>
      </c>
      <c r="V643" s="30">
        <v>0</v>
      </c>
      <c r="W643" s="30">
        <v>0</v>
      </c>
      <c r="X643" s="30">
        <v>0</v>
      </c>
    </row>
    <row r="644" spans="10:24" x14ac:dyDescent="0.25">
      <c r="J644">
        <v>636</v>
      </c>
      <c r="K644" s="30">
        <v>2038.7509670653935</v>
      </c>
      <c r="L644" s="30">
        <v>3392.3748809858917</v>
      </c>
      <c r="M644" s="30">
        <v>2792.8353073477306</v>
      </c>
      <c r="N644" s="30">
        <v>169.88364066368104</v>
      </c>
      <c r="O644" s="30">
        <v>2170.332803285406</v>
      </c>
      <c r="P644" s="30">
        <v>-1367.9454950864338</v>
      </c>
      <c r="R644">
        <v>636</v>
      </c>
      <c r="S644" s="30">
        <v>272.19114600261042</v>
      </c>
      <c r="T644" s="30">
        <v>303.49865000466565</v>
      </c>
      <c r="U644" s="30">
        <v>183.83754304242973</v>
      </c>
      <c r="V644" s="30">
        <v>0</v>
      </c>
      <c r="W644" s="30">
        <v>0</v>
      </c>
      <c r="X644" s="30">
        <v>0</v>
      </c>
    </row>
    <row r="645" spans="10:24" x14ac:dyDescent="0.25">
      <c r="J645">
        <v>637</v>
      </c>
      <c r="K645" s="30">
        <v>2441.8596302283286</v>
      </c>
      <c r="L645" s="30">
        <v>2868.8678907429312</v>
      </c>
      <c r="M645" s="30">
        <v>2354.3701377670677</v>
      </c>
      <c r="N645" s="30">
        <v>11.607367133603475</v>
      </c>
      <c r="O645" s="30">
        <v>-1217.3738467758831</v>
      </c>
      <c r="P645" s="30">
        <v>-678.93887421857835</v>
      </c>
      <c r="R645">
        <v>637</v>
      </c>
      <c r="S645" s="30">
        <v>199.43764520061285</v>
      </c>
      <c r="T645" s="30">
        <v>225.71269816362894</v>
      </c>
      <c r="U645" s="30">
        <v>157.9555651479069</v>
      </c>
      <c r="V645" s="30">
        <v>0</v>
      </c>
      <c r="W645" s="30">
        <v>0</v>
      </c>
      <c r="X645" s="30">
        <v>0</v>
      </c>
    </row>
    <row r="646" spans="10:24" x14ac:dyDescent="0.25">
      <c r="J646">
        <v>638</v>
      </c>
      <c r="K646" s="30">
        <v>2771.874401598337</v>
      </c>
      <c r="L646" s="30">
        <v>3210.2540529330672</v>
      </c>
      <c r="M646" s="30">
        <v>3019.4680601204991</v>
      </c>
      <c r="N646" s="30">
        <v>-1368.6485205861318</v>
      </c>
      <c r="O646" s="30">
        <v>858.38603291882009</v>
      </c>
      <c r="P646" s="30">
        <v>-2567.8513109774822</v>
      </c>
      <c r="R646">
        <v>638</v>
      </c>
      <c r="S646" s="30">
        <v>250.18828793698884</v>
      </c>
      <c r="T646" s="30">
        <v>388.16696141186577</v>
      </c>
      <c r="U646" s="30">
        <v>98.463692491205563</v>
      </c>
      <c r="V646" s="30">
        <v>0</v>
      </c>
      <c r="W646" s="30">
        <v>0</v>
      </c>
      <c r="X646" s="30">
        <v>0</v>
      </c>
    </row>
    <row r="647" spans="10:24" x14ac:dyDescent="0.25">
      <c r="J647">
        <v>639</v>
      </c>
      <c r="K647" s="30">
        <v>3994.3683044336449</v>
      </c>
      <c r="L647" s="30">
        <v>2887.5626246575498</v>
      </c>
      <c r="M647" s="30">
        <v>2489.7911178150357</v>
      </c>
      <c r="N647" s="30">
        <v>2079.3645514526906</v>
      </c>
      <c r="O647" s="30">
        <v>1402.9576012436182</v>
      </c>
      <c r="P647" s="30">
        <v>-1645.5640896378254</v>
      </c>
      <c r="R647">
        <v>639</v>
      </c>
      <c r="S647" s="30">
        <v>342.63587186647896</v>
      </c>
      <c r="T647" s="30">
        <v>205.03815186184642</v>
      </c>
      <c r="U647" s="30">
        <v>270.26089976185443</v>
      </c>
      <c r="V647" s="30">
        <v>17.418559072891867</v>
      </c>
      <c r="W647" s="30">
        <v>82.629143051540609</v>
      </c>
      <c r="X647" s="30">
        <v>0</v>
      </c>
    </row>
    <row r="648" spans="10:24" x14ac:dyDescent="0.25">
      <c r="J648">
        <v>640</v>
      </c>
      <c r="K648" s="30">
        <v>2679.413242075897</v>
      </c>
      <c r="L648" s="30">
        <v>3193.2897473261946</v>
      </c>
      <c r="M648" s="30">
        <v>2217.5882306869153</v>
      </c>
      <c r="N648" s="30">
        <v>-931.94699131692505</v>
      </c>
      <c r="O648" s="30">
        <v>2148.860867616082</v>
      </c>
      <c r="P648" s="30">
        <v>-89.310764996568651</v>
      </c>
      <c r="R648">
        <v>640</v>
      </c>
      <c r="S648" s="30">
        <v>243.24820448178451</v>
      </c>
      <c r="T648" s="30">
        <v>190.67718899215026</v>
      </c>
      <c r="U648" s="30">
        <v>185.22032613056018</v>
      </c>
      <c r="V648" s="30">
        <v>0</v>
      </c>
      <c r="W648" s="30">
        <v>86.312021308388239</v>
      </c>
      <c r="X648" s="30">
        <v>0</v>
      </c>
    </row>
    <row r="649" spans="10:24" x14ac:dyDescent="0.25">
      <c r="J649">
        <v>641</v>
      </c>
      <c r="K649" s="30">
        <v>2634.4826366809702</v>
      </c>
      <c r="L649" s="30">
        <v>2471.8199183056072</v>
      </c>
      <c r="M649" s="30">
        <v>2570.4569100433528</v>
      </c>
      <c r="N649" s="30">
        <v>300.37567475448304</v>
      </c>
      <c r="O649" s="30">
        <v>3535.8822977933869</v>
      </c>
      <c r="P649" s="30">
        <v>879.56678516172633</v>
      </c>
      <c r="R649">
        <v>641</v>
      </c>
      <c r="S649" s="30">
        <v>222.44164084805772</v>
      </c>
      <c r="T649" s="30">
        <v>336.02801794525413</v>
      </c>
      <c r="U649" s="30">
        <v>157.07259968874263</v>
      </c>
      <c r="V649" s="30">
        <v>42.342644008908565</v>
      </c>
      <c r="W649" s="30">
        <v>24.772063134084419</v>
      </c>
      <c r="X649" s="30">
        <v>0</v>
      </c>
    </row>
    <row r="650" spans="10:24" x14ac:dyDescent="0.25">
      <c r="J650">
        <v>642</v>
      </c>
      <c r="K650" s="30">
        <v>2700.9289681480332</v>
      </c>
      <c r="L650" s="30">
        <v>3167.8286334786881</v>
      </c>
      <c r="M650" s="30">
        <v>2611.5012466574026</v>
      </c>
      <c r="N650" s="30">
        <v>-1853.7251650350518</v>
      </c>
      <c r="O650" s="30">
        <v>962.51475800549269</v>
      </c>
      <c r="P650" s="30">
        <v>6.2120553218128407</v>
      </c>
      <c r="R650">
        <v>642</v>
      </c>
      <c r="S650" s="30">
        <v>159.32119713016453</v>
      </c>
      <c r="T650" s="30">
        <v>348.94724881364027</v>
      </c>
      <c r="U650" s="30">
        <v>239.30558348104739</v>
      </c>
      <c r="V650" s="30">
        <v>0</v>
      </c>
      <c r="W650" s="30">
        <v>0</v>
      </c>
      <c r="X650" s="30">
        <v>0</v>
      </c>
    </row>
    <row r="651" spans="10:24" x14ac:dyDescent="0.25">
      <c r="J651">
        <v>643</v>
      </c>
      <c r="K651" s="30">
        <v>4149.124940451351</v>
      </c>
      <c r="L651" s="30">
        <v>2994.4282213961842</v>
      </c>
      <c r="M651" s="30">
        <v>3230.9881024871838</v>
      </c>
      <c r="N651" s="30">
        <v>2167.5133771970868</v>
      </c>
      <c r="O651" s="30">
        <v>1407.060098850824</v>
      </c>
      <c r="P651" s="30">
        <v>-1282.239646034659</v>
      </c>
      <c r="R651">
        <v>643</v>
      </c>
      <c r="S651" s="30">
        <v>131.92049758756002</v>
      </c>
      <c r="T651" s="30">
        <v>258.1971222424346</v>
      </c>
      <c r="U651" s="30">
        <v>143.80701881910858</v>
      </c>
      <c r="V651" s="30">
        <v>20.446621632848405</v>
      </c>
      <c r="W651" s="30">
        <v>245.31044198264573</v>
      </c>
      <c r="X651" s="30">
        <v>0</v>
      </c>
    </row>
    <row r="652" spans="10:24" x14ac:dyDescent="0.25">
      <c r="J652">
        <v>644</v>
      </c>
      <c r="K652" s="30">
        <v>4222.8492065483688</v>
      </c>
      <c r="L652" s="30">
        <v>2124.6963953382988</v>
      </c>
      <c r="M652" s="30">
        <v>3761.7750426739344</v>
      </c>
      <c r="N652" s="30">
        <v>146.51827169229273</v>
      </c>
      <c r="O652" s="30">
        <v>2058.6990412945925</v>
      </c>
      <c r="P652" s="30">
        <v>1314.3747701516804</v>
      </c>
      <c r="R652">
        <v>644</v>
      </c>
      <c r="S652" s="30">
        <v>236.95888757363019</v>
      </c>
      <c r="T652" s="30">
        <v>254.6670154641705</v>
      </c>
      <c r="U652" s="30">
        <v>199.09008185249957</v>
      </c>
      <c r="V652" s="30">
        <v>0</v>
      </c>
      <c r="W652" s="30">
        <v>0</v>
      </c>
      <c r="X652" s="30">
        <v>0</v>
      </c>
    </row>
    <row r="653" spans="10:24" x14ac:dyDescent="0.25">
      <c r="J653">
        <v>645</v>
      </c>
      <c r="K653" s="30">
        <v>3196.9108123924148</v>
      </c>
      <c r="L653" s="30">
        <v>2890.1954533355065</v>
      </c>
      <c r="M653" s="30">
        <v>1385.6252317397798</v>
      </c>
      <c r="N653" s="30">
        <v>-416.25463605966343</v>
      </c>
      <c r="O653" s="30">
        <v>3675.7071967839802</v>
      </c>
      <c r="P653" s="30">
        <v>2005.1413901189489</v>
      </c>
      <c r="R653">
        <v>645</v>
      </c>
      <c r="S653" s="30">
        <v>160.25099636915064</v>
      </c>
      <c r="T653" s="30">
        <v>233.94586713127916</v>
      </c>
      <c r="U653" s="30">
        <v>118.71138150065644</v>
      </c>
      <c r="V653" s="30">
        <v>44.853032221954265</v>
      </c>
      <c r="W653" s="30">
        <v>40.76870896193725</v>
      </c>
      <c r="X653" s="30">
        <v>0</v>
      </c>
    </row>
    <row r="654" spans="10:24" x14ac:dyDescent="0.25">
      <c r="J654">
        <v>646</v>
      </c>
      <c r="K654" s="30">
        <v>3020.1225116843061</v>
      </c>
      <c r="L654" s="30">
        <v>3084.7912103471767</v>
      </c>
      <c r="M654" s="30">
        <v>2697.6771128498658</v>
      </c>
      <c r="N654" s="30">
        <v>838.3964647652856</v>
      </c>
      <c r="O654" s="30">
        <v>3160.4703035326866</v>
      </c>
      <c r="P654" s="30">
        <v>754.04944549764878</v>
      </c>
      <c r="R654">
        <v>646</v>
      </c>
      <c r="S654" s="30">
        <v>225.26194794015549</v>
      </c>
      <c r="T654" s="30">
        <v>361.98635958226288</v>
      </c>
      <c r="U654" s="30">
        <v>148.22458361568795</v>
      </c>
      <c r="V654" s="30">
        <v>0</v>
      </c>
      <c r="W654" s="30">
        <v>86.656269626843709</v>
      </c>
      <c r="X654" s="30">
        <v>0</v>
      </c>
    </row>
    <row r="655" spans="10:24" x14ac:dyDescent="0.25">
      <c r="J655">
        <v>647</v>
      </c>
      <c r="K655" s="30">
        <v>2380.654539754913</v>
      </c>
      <c r="L655" s="30">
        <v>3889.7612200100816</v>
      </c>
      <c r="M655" s="30">
        <v>2578.3227284694353</v>
      </c>
      <c r="N655" s="30">
        <v>416.16062823694938</v>
      </c>
      <c r="O655" s="30">
        <v>1839.6517939706573</v>
      </c>
      <c r="P655" s="30">
        <v>-2069.3270486797255</v>
      </c>
      <c r="R655">
        <v>647</v>
      </c>
      <c r="S655" s="30">
        <v>222.84357677041328</v>
      </c>
      <c r="T655" s="30">
        <v>376.76619467106815</v>
      </c>
      <c r="U655" s="30">
        <v>132.3707743183665</v>
      </c>
      <c r="V655" s="30">
        <v>0</v>
      </c>
      <c r="W655" s="30">
        <v>0</v>
      </c>
      <c r="X655" s="30">
        <v>0</v>
      </c>
    </row>
    <row r="656" spans="10:24" x14ac:dyDescent="0.25">
      <c r="J656">
        <v>648</v>
      </c>
      <c r="K656" s="30">
        <v>3168.1448855252615</v>
      </c>
      <c r="L656" s="30">
        <v>2540.8137804088456</v>
      </c>
      <c r="M656" s="30">
        <v>1705.7763864357539</v>
      </c>
      <c r="N656" s="30">
        <v>-908.01715441668057</v>
      </c>
      <c r="O656" s="30">
        <v>1019.6538507536661</v>
      </c>
      <c r="P656" s="30">
        <v>336.29789663154043</v>
      </c>
      <c r="R656">
        <v>648</v>
      </c>
      <c r="S656" s="30">
        <v>178.328540086776</v>
      </c>
      <c r="T656" s="30">
        <v>210.28772750117099</v>
      </c>
      <c r="U656" s="30">
        <v>107.25642486352717</v>
      </c>
      <c r="V656" s="30">
        <v>0</v>
      </c>
      <c r="W656" s="30">
        <v>43.279976313374732</v>
      </c>
      <c r="X656" s="30">
        <v>0</v>
      </c>
    </row>
    <row r="657" spans="10:24" x14ac:dyDescent="0.25">
      <c r="J657">
        <v>649</v>
      </c>
      <c r="K657" s="30">
        <v>2791.327154492692</v>
      </c>
      <c r="L657" s="30">
        <v>3186.0568144352528</v>
      </c>
      <c r="M657" s="30">
        <v>2060.9358859177164</v>
      </c>
      <c r="N657" s="30">
        <v>3498.9037673072216</v>
      </c>
      <c r="O657" s="30">
        <v>529.74264564774603</v>
      </c>
      <c r="P657" s="30">
        <v>1017.5557183196124</v>
      </c>
      <c r="R657">
        <v>649</v>
      </c>
      <c r="S657" s="30">
        <v>147.51804863069862</v>
      </c>
      <c r="T657" s="30">
        <v>230.30481220010472</v>
      </c>
      <c r="U657" s="30">
        <v>245.39356661419038</v>
      </c>
      <c r="V657" s="30">
        <v>0</v>
      </c>
      <c r="W657" s="30">
        <v>41.154952808977669</v>
      </c>
      <c r="X657" s="30">
        <v>0</v>
      </c>
    </row>
    <row r="658" spans="10:24" x14ac:dyDescent="0.25">
      <c r="J658">
        <v>650</v>
      </c>
      <c r="K658" s="30">
        <v>2423.4407349277567</v>
      </c>
      <c r="L658" s="30">
        <v>4039.638386707833</v>
      </c>
      <c r="M658" s="30">
        <v>2249.253309416526</v>
      </c>
      <c r="N658" s="30">
        <v>3047.2745235042858</v>
      </c>
      <c r="O658" s="30">
        <v>545.97632985510882</v>
      </c>
      <c r="P658" s="30">
        <v>-254.48061887231688</v>
      </c>
      <c r="R658">
        <v>650</v>
      </c>
      <c r="S658" s="30">
        <v>258.1877069134199</v>
      </c>
      <c r="T658" s="30">
        <v>275.55651906897714</v>
      </c>
      <c r="U658" s="30">
        <v>298.51813042943786</v>
      </c>
      <c r="V658" s="30">
        <v>0</v>
      </c>
      <c r="W658" s="30">
        <v>216.60261211104898</v>
      </c>
      <c r="X658" s="30">
        <v>0</v>
      </c>
    </row>
    <row r="659" spans="10:24" x14ac:dyDescent="0.25">
      <c r="J659">
        <v>651</v>
      </c>
      <c r="K659" s="30">
        <v>3175.0650845774289</v>
      </c>
      <c r="L659" s="30">
        <v>3788.8487761802453</v>
      </c>
      <c r="M659" s="30">
        <v>2476.4307572495018</v>
      </c>
      <c r="N659" s="30">
        <v>954.94536671272363</v>
      </c>
      <c r="O659" s="30">
        <v>1967.3391414268881</v>
      </c>
      <c r="P659" s="30">
        <v>-1204.8994826256494</v>
      </c>
      <c r="R659">
        <v>651</v>
      </c>
      <c r="S659" s="30">
        <v>236.25539749846826</v>
      </c>
      <c r="T659" s="30">
        <v>340.63227577527465</v>
      </c>
      <c r="U659" s="30">
        <v>137.99146015400237</v>
      </c>
      <c r="V659" s="30">
        <v>88.432366598965359</v>
      </c>
      <c r="W659" s="30">
        <v>51.45781438079905</v>
      </c>
      <c r="X659" s="30">
        <v>0</v>
      </c>
    </row>
    <row r="660" spans="10:24" x14ac:dyDescent="0.25">
      <c r="J660">
        <v>652</v>
      </c>
      <c r="K660" s="30">
        <v>3024.4081793305822</v>
      </c>
      <c r="L660" s="30">
        <v>2746.0758815466411</v>
      </c>
      <c r="M660" s="30">
        <v>2696.931202996866</v>
      </c>
      <c r="N660" s="30">
        <v>371.91551171593801</v>
      </c>
      <c r="O660" s="30">
        <v>3392.0917422340472</v>
      </c>
      <c r="P660" s="30">
        <v>-533.62750018595762</v>
      </c>
      <c r="R660">
        <v>652</v>
      </c>
      <c r="S660" s="30">
        <v>212.55225727424357</v>
      </c>
      <c r="T660" s="30">
        <v>269.61243713915485</v>
      </c>
      <c r="U660" s="30">
        <v>55.874540622511347</v>
      </c>
      <c r="V660" s="30">
        <v>22.804706018488901</v>
      </c>
      <c r="W660" s="30">
        <v>0</v>
      </c>
      <c r="X660" s="30">
        <v>0</v>
      </c>
    </row>
    <row r="661" spans="10:24" x14ac:dyDescent="0.25">
      <c r="J661">
        <v>653</v>
      </c>
      <c r="K661" s="30">
        <v>4202.967952828838</v>
      </c>
      <c r="L661" s="30">
        <v>2654.9573227191722</v>
      </c>
      <c r="M661" s="30">
        <v>1642.5888216925478</v>
      </c>
      <c r="N661" s="30">
        <v>418.01019406668729</v>
      </c>
      <c r="O661" s="30">
        <v>608.01179509986741</v>
      </c>
      <c r="P661" s="30">
        <v>-1667.3922830382635</v>
      </c>
      <c r="R661">
        <v>653</v>
      </c>
      <c r="S661" s="30">
        <v>269.3855427388479</v>
      </c>
      <c r="T661" s="30">
        <v>328.9501154503152</v>
      </c>
      <c r="U661" s="30">
        <v>136.80091729273596</v>
      </c>
      <c r="V661" s="30">
        <v>0</v>
      </c>
      <c r="W661" s="30">
        <v>154.314434658408</v>
      </c>
      <c r="X661" s="30">
        <v>0</v>
      </c>
    </row>
    <row r="662" spans="10:24" x14ac:dyDescent="0.25">
      <c r="J662">
        <v>654</v>
      </c>
      <c r="K662" s="30">
        <v>3686.9477284491577</v>
      </c>
      <c r="L662" s="30">
        <v>4224.0460881985373</v>
      </c>
      <c r="M662" s="30">
        <v>2271.8948298270961</v>
      </c>
      <c r="N662" s="30">
        <v>-716.82023183490128</v>
      </c>
      <c r="O662" s="30">
        <v>-22.565790352680779</v>
      </c>
      <c r="P662" s="30">
        <v>-57.096391784786647</v>
      </c>
      <c r="R662">
        <v>654</v>
      </c>
      <c r="S662" s="30">
        <v>365.81769999747087</v>
      </c>
      <c r="T662" s="30">
        <v>307.92894958774713</v>
      </c>
      <c r="U662" s="30">
        <v>106.88917673124706</v>
      </c>
      <c r="V662" s="30">
        <v>72.992346036886147</v>
      </c>
      <c r="W662" s="30">
        <v>41.739356439044968</v>
      </c>
      <c r="X662" s="30">
        <v>0</v>
      </c>
    </row>
    <row r="663" spans="10:24" x14ac:dyDescent="0.25">
      <c r="J663">
        <v>655</v>
      </c>
      <c r="K663" s="30">
        <v>1907.876241637674</v>
      </c>
      <c r="L663" s="30">
        <v>3633.4012809406136</v>
      </c>
      <c r="M663" s="30">
        <v>2699.9768937144736</v>
      </c>
      <c r="N663" s="30">
        <v>-258.06732546156854</v>
      </c>
      <c r="O663" s="30">
        <v>3689.2233466550297</v>
      </c>
      <c r="P663" s="30">
        <v>-2134.6987275238998</v>
      </c>
      <c r="R663">
        <v>655</v>
      </c>
      <c r="S663" s="30">
        <v>170.02220938927775</v>
      </c>
      <c r="T663" s="30">
        <v>280.34646002670803</v>
      </c>
      <c r="U663" s="30">
        <v>140.27499865420384</v>
      </c>
      <c r="V663" s="30">
        <v>0</v>
      </c>
      <c r="W663" s="30">
        <v>0</v>
      </c>
      <c r="X663" s="30">
        <v>0</v>
      </c>
    </row>
    <row r="664" spans="10:24" x14ac:dyDescent="0.25">
      <c r="J664">
        <v>656</v>
      </c>
      <c r="K664" s="30">
        <v>3471.3727993373377</v>
      </c>
      <c r="L664" s="30">
        <v>2499.3225246265224</v>
      </c>
      <c r="M664" s="30">
        <v>1681.4112387621244</v>
      </c>
      <c r="N664" s="30">
        <v>512.56841755981168</v>
      </c>
      <c r="O664" s="30">
        <v>2020.5983681449225</v>
      </c>
      <c r="P664" s="30">
        <v>-2882.4531915522284</v>
      </c>
      <c r="R664">
        <v>656</v>
      </c>
      <c r="S664" s="30">
        <v>262.60988820889202</v>
      </c>
      <c r="T664" s="30">
        <v>289.00561985971899</v>
      </c>
      <c r="U664" s="30">
        <v>221.22012324248271</v>
      </c>
      <c r="V664" s="30">
        <v>41.341815658275664</v>
      </c>
      <c r="W664" s="30">
        <v>0</v>
      </c>
      <c r="X664" s="30">
        <v>0</v>
      </c>
    </row>
    <row r="665" spans="10:24" x14ac:dyDescent="0.25">
      <c r="J665">
        <v>657</v>
      </c>
      <c r="K665" s="30">
        <v>3814.4239205383483</v>
      </c>
      <c r="L665" s="30">
        <v>2139.0707127011724</v>
      </c>
      <c r="M665" s="30">
        <v>3221.5686478563075</v>
      </c>
      <c r="N665" s="30">
        <v>45.349989976758479</v>
      </c>
      <c r="O665" s="30">
        <v>415.22754021394576</v>
      </c>
      <c r="P665" s="30">
        <v>151.22763745856082</v>
      </c>
      <c r="R665">
        <v>657</v>
      </c>
      <c r="S665" s="30">
        <v>306.33613117327866</v>
      </c>
      <c r="T665" s="30">
        <v>332.33920235382857</v>
      </c>
      <c r="U665" s="30">
        <v>118.84021676029943</v>
      </c>
      <c r="V665" s="30">
        <v>140.37752254970582</v>
      </c>
      <c r="W665" s="30">
        <v>195.97017817972613</v>
      </c>
      <c r="X665" s="30">
        <v>0</v>
      </c>
    </row>
    <row r="666" spans="10:24" x14ac:dyDescent="0.25">
      <c r="J666">
        <v>658</v>
      </c>
      <c r="K666" s="30">
        <v>2849.0630124959998</v>
      </c>
      <c r="L666" s="30">
        <v>3278.359314500136</v>
      </c>
      <c r="M666" s="30">
        <v>2646.1273400668542</v>
      </c>
      <c r="N666" s="30">
        <v>967.05052022227392</v>
      </c>
      <c r="O666" s="30">
        <v>-1401.6099196528685</v>
      </c>
      <c r="P666" s="30">
        <v>1332.6489680503128</v>
      </c>
      <c r="R666">
        <v>658</v>
      </c>
      <c r="S666" s="30">
        <v>220.01910905184849</v>
      </c>
      <c r="T666" s="30">
        <v>206.69704765703148</v>
      </c>
      <c r="U666" s="30">
        <v>123.46295560110224</v>
      </c>
      <c r="V666" s="30">
        <v>0</v>
      </c>
      <c r="W666" s="30">
        <v>0</v>
      </c>
      <c r="X666" s="30">
        <v>0</v>
      </c>
    </row>
    <row r="667" spans="10:24" x14ac:dyDescent="0.25">
      <c r="J667">
        <v>659</v>
      </c>
      <c r="K667" s="30">
        <v>3953.4791973774727</v>
      </c>
      <c r="L667" s="30">
        <v>2973.2307547834589</v>
      </c>
      <c r="M667" s="30">
        <v>3489.5821954901053</v>
      </c>
      <c r="N667" s="30">
        <v>876.8693374808081</v>
      </c>
      <c r="O667" s="30">
        <v>1811.2930503425141</v>
      </c>
      <c r="P667" s="30">
        <v>-920.43138635341438</v>
      </c>
      <c r="R667">
        <v>659</v>
      </c>
      <c r="S667" s="30">
        <v>208.66541399668881</v>
      </c>
      <c r="T667" s="30">
        <v>247.18264484169293</v>
      </c>
      <c r="U667" s="30">
        <v>160.78036416714383</v>
      </c>
      <c r="V667" s="30">
        <v>80.27363937742706</v>
      </c>
      <c r="W667" s="30">
        <v>0</v>
      </c>
      <c r="X667" s="30">
        <v>0</v>
      </c>
    </row>
    <row r="668" spans="10:24" x14ac:dyDescent="0.25">
      <c r="J668">
        <v>660</v>
      </c>
      <c r="K668" s="30">
        <v>2853.0533383376337</v>
      </c>
      <c r="L668" s="30">
        <v>2372.1563982493417</v>
      </c>
      <c r="M668" s="30">
        <v>2291.7242148805117</v>
      </c>
      <c r="N668" s="30">
        <v>279.06551998436589</v>
      </c>
      <c r="O668" s="30">
        <v>464.46013053518891</v>
      </c>
      <c r="P668" s="30">
        <v>-978.71822231335227</v>
      </c>
      <c r="R668">
        <v>660</v>
      </c>
      <c r="S668" s="30">
        <v>249.92819811257488</v>
      </c>
      <c r="T668" s="30">
        <v>247.54239993934527</v>
      </c>
      <c r="U668" s="30">
        <v>195.91042626921512</v>
      </c>
      <c r="V668" s="30">
        <v>184.944937532003</v>
      </c>
      <c r="W668" s="30">
        <v>110.50002882060517</v>
      </c>
      <c r="X668" s="30">
        <v>0</v>
      </c>
    </row>
    <row r="669" spans="10:24" x14ac:dyDescent="0.25">
      <c r="J669">
        <v>661</v>
      </c>
      <c r="K669" s="30">
        <v>3817.1351436512064</v>
      </c>
      <c r="L669" s="30">
        <v>2369.4150871023048</v>
      </c>
      <c r="M669" s="30">
        <v>1237.9593570044726</v>
      </c>
      <c r="N669" s="30">
        <v>802.81036627003868</v>
      </c>
      <c r="O669" s="30">
        <v>1179.841062936488</v>
      </c>
      <c r="P669" s="30">
        <v>2622.8009222414612</v>
      </c>
      <c r="R669">
        <v>661</v>
      </c>
      <c r="S669" s="30">
        <v>215.65150201408323</v>
      </c>
      <c r="T669" s="30">
        <v>255.24818600626332</v>
      </c>
      <c r="U669" s="30">
        <v>124.27232564249584</v>
      </c>
      <c r="V669" s="30">
        <v>68.534343083939802</v>
      </c>
      <c r="W669" s="30">
        <v>0</v>
      </c>
      <c r="X669" s="30">
        <v>0</v>
      </c>
    </row>
    <row r="670" spans="10:24" x14ac:dyDescent="0.25">
      <c r="J670">
        <v>662</v>
      </c>
      <c r="K670" s="30">
        <v>3009.2582431161209</v>
      </c>
      <c r="L670" s="30">
        <v>3905.7987524731793</v>
      </c>
      <c r="M670" s="30">
        <v>2338.5347576532649</v>
      </c>
      <c r="N670" s="30">
        <v>-444.24492823296896</v>
      </c>
      <c r="O670" s="30">
        <v>3802.2311827617714</v>
      </c>
      <c r="P670" s="30">
        <v>-1279.4231070798151</v>
      </c>
      <c r="R670">
        <v>662</v>
      </c>
      <c r="S670" s="30">
        <v>280.86111291633603</v>
      </c>
      <c r="T670" s="30">
        <v>234.48514242933561</v>
      </c>
      <c r="U670" s="30">
        <v>132.89025744540493</v>
      </c>
      <c r="V670" s="30">
        <v>0</v>
      </c>
      <c r="W670" s="30">
        <v>0</v>
      </c>
      <c r="X670" s="30">
        <v>0</v>
      </c>
    </row>
    <row r="671" spans="10:24" x14ac:dyDescent="0.25">
      <c r="J671">
        <v>663</v>
      </c>
      <c r="K671" s="30">
        <v>2763.8227497751636</v>
      </c>
      <c r="L671" s="30">
        <v>2908.9042576543625</v>
      </c>
      <c r="M671" s="30">
        <v>3583.785364242347</v>
      </c>
      <c r="N671" s="30">
        <v>-686.08955701626292</v>
      </c>
      <c r="O671" s="30">
        <v>715.72066084317157</v>
      </c>
      <c r="P671" s="30">
        <v>311.28539029559397</v>
      </c>
      <c r="R671">
        <v>663</v>
      </c>
      <c r="S671" s="30">
        <v>236.93405010736029</v>
      </c>
      <c r="T671" s="30">
        <v>292.24784173673902</v>
      </c>
      <c r="U671" s="30">
        <v>233.60769534809532</v>
      </c>
      <c r="V671" s="30">
        <v>0</v>
      </c>
      <c r="W671" s="30">
        <v>0</v>
      </c>
      <c r="X671" s="30">
        <v>0</v>
      </c>
    </row>
    <row r="672" spans="10:24" x14ac:dyDescent="0.25">
      <c r="J672">
        <v>664</v>
      </c>
      <c r="K672" s="30">
        <v>2470.2656167811338</v>
      </c>
      <c r="L672" s="30">
        <v>2200.2445486059896</v>
      </c>
      <c r="M672" s="30">
        <v>1933.4674686392864</v>
      </c>
      <c r="N672" s="30">
        <v>-175.47168723750019</v>
      </c>
      <c r="O672" s="30">
        <v>198.17268424079975</v>
      </c>
      <c r="P672" s="30">
        <v>-200.30566846357488</v>
      </c>
      <c r="R672">
        <v>664</v>
      </c>
      <c r="S672" s="30">
        <v>221.50060732869639</v>
      </c>
      <c r="T672" s="30">
        <v>259.39047980499743</v>
      </c>
      <c r="U672" s="30">
        <v>47.174116443454238</v>
      </c>
      <c r="V672" s="30">
        <v>0</v>
      </c>
      <c r="W672" s="30">
        <v>115.93234179081253</v>
      </c>
      <c r="X672" s="30">
        <v>106.38033793050272</v>
      </c>
    </row>
    <row r="673" spans="10:24" x14ac:dyDescent="0.25">
      <c r="J673">
        <v>665</v>
      </c>
      <c r="K673" s="30">
        <v>2554.1779390199899</v>
      </c>
      <c r="L673" s="30">
        <v>2893.6699114618377</v>
      </c>
      <c r="M673" s="30">
        <v>3562.5615954266145</v>
      </c>
      <c r="N673" s="30">
        <v>842.94739761085293</v>
      </c>
      <c r="O673" s="30">
        <v>1401.5021164567988</v>
      </c>
      <c r="P673" s="30">
        <v>-1749.1983324160574</v>
      </c>
      <c r="R673">
        <v>665</v>
      </c>
      <c r="S673" s="30">
        <v>189.7749463411327</v>
      </c>
      <c r="T673" s="30">
        <v>237.85808135970984</v>
      </c>
      <c r="U673" s="30">
        <v>214.97534686509709</v>
      </c>
      <c r="V673" s="30">
        <v>0</v>
      </c>
      <c r="W673" s="30">
        <v>0</v>
      </c>
      <c r="X673" s="30">
        <v>0</v>
      </c>
    </row>
    <row r="674" spans="10:24" x14ac:dyDescent="0.25">
      <c r="J674">
        <v>666</v>
      </c>
      <c r="K674" s="30">
        <v>2561.674350747895</v>
      </c>
      <c r="L674" s="30">
        <v>2748.1703189898503</v>
      </c>
      <c r="M674" s="30">
        <v>3963.3122561791524</v>
      </c>
      <c r="N674" s="30">
        <v>408.7588437727818</v>
      </c>
      <c r="O674" s="30">
        <v>862.11309805170549</v>
      </c>
      <c r="P674" s="30">
        <v>-3126.2971115977589</v>
      </c>
      <c r="R674">
        <v>666</v>
      </c>
      <c r="S674" s="30">
        <v>296.90201346675383</v>
      </c>
      <c r="T674" s="30">
        <v>441.18563570996577</v>
      </c>
      <c r="U674" s="30">
        <v>91.055590526208107</v>
      </c>
      <c r="V674" s="30">
        <v>0</v>
      </c>
      <c r="W674" s="30">
        <v>33.010542492799573</v>
      </c>
      <c r="X674" s="30">
        <v>0</v>
      </c>
    </row>
    <row r="675" spans="10:24" x14ac:dyDescent="0.25">
      <c r="J675">
        <v>667</v>
      </c>
      <c r="K675" s="30">
        <v>2302.1983221503415</v>
      </c>
      <c r="L675" s="30">
        <v>3425.1197425780747</v>
      </c>
      <c r="M675" s="30">
        <v>2794.6072313883169</v>
      </c>
      <c r="N675" s="30">
        <v>1406.2925743773067</v>
      </c>
      <c r="O675" s="30">
        <v>941.3977621494023</v>
      </c>
      <c r="P675" s="30">
        <v>95.194436700573533</v>
      </c>
      <c r="R675">
        <v>667</v>
      </c>
      <c r="S675" s="30">
        <v>214.18286051029293</v>
      </c>
      <c r="T675" s="30">
        <v>322.53214198108139</v>
      </c>
      <c r="U675" s="30">
        <v>65.336064895821835</v>
      </c>
      <c r="V675" s="30">
        <v>0</v>
      </c>
      <c r="W675" s="30">
        <v>83.177127498922118</v>
      </c>
      <c r="X675" s="30">
        <v>0</v>
      </c>
    </row>
    <row r="676" spans="10:24" x14ac:dyDescent="0.25">
      <c r="J676">
        <v>668</v>
      </c>
      <c r="K676" s="30">
        <v>3752.2051270285265</v>
      </c>
      <c r="L676" s="30">
        <v>2703.0085403416961</v>
      </c>
      <c r="M676" s="30">
        <v>2220.6304658938529</v>
      </c>
      <c r="N676" s="30">
        <v>947.65442000051371</v>
      </c>
      <c r="O676" s="30">
        <v>2957.2652183843966</v>
      </c>
      <c r="P676" s="30">
        <v>1747.9142469904291</v>
      </c>
      <c r="R676">
        <v>668</v>
      </c>
      <c r="S676" s="30">
        <v>152.98401108866358</v>
      </c>
      <c r="T676" s="30">
        <v>305.8145710097603</v>
      </c>
      <c r="U676" s="30">
        <v>202.65142438768873</v>
      </c>
      <c r="V676" s="30">
        <v>0</v>
      </c>
      <c r="W676" s="30">
        <v>0</v>
      </c>
      <c r="X676" s="30">
        <v>0</v>
      </c>
    </row>
    <row r="677" spans="10:24" x14ac:dyDescent="0.25">
      <c r="J677">
        <v>669</v>
      </c>
      <c r="K677" s="30">
        <v>3781.3754374079263</v>
      </c>
      <c r="L677" s="30">
        <v>2529.4805810020907</v>
      </c>
      <c r="M677" s="30">
        <v>3189.5584229600431</v>
      </c>
      <c r="N677" s="30">
        <v>900.52019852293506</v>
      </c>
      <c r="O677" s="30">
        <v>1513.711640646663</v>
      </c>
      <c r="P677" s="30">
        <v>688.03013087326872</v>
      </c>
      <c r="R677">
        <v>669</v>
      </c>
      <c r="S677" s="30">
        <v>228.79387374417809</v>
      </c>
      <c r="T677" s="30">
        <v>354.48463536334901</v>
      </c>
      <c r="U677" s="30">
        <v>160.91084898791536</v>
      </c>
      <c r="V677" s="30">
        <v>0</v>
      </c>
      <c r="W677" s="30">
        <v>7.1014758382708578</v>
      </c>
      <c r="X677" s="30">
        <v>0</v>
      </c>
    </row>
    <row r="678" spans="10:24" x14ac:dyDescent="0.25">
      <c r="J678">
        <v>670</v>
      </c>
      <c r="K678" s="30">
        <v>2572.8338668400593</v>
      </c>
      <c r="L678" s="30">
        <v>2830.3147826691602</v>
      </c>
      <c r="M678" s="30">
        <v>2065.7769123993853</v>
      </c>
      <c r="N678" s="30">
        <v>1673.6112353035014</v>
      </c>
      <c r="O678" s="30">
        <v>-166.93117010032711</v>
      </c>
      <c r="P678" s="30">
        <v>-34.314205142713945</v>
      </c>
      <c r="R678">
        <v>670</v>
      </c>
      <c r="S678" s="30">
        <v>259.59891522734523</v>
      </c>
      <c r="T678" s="30">
        <v>254.84214770919601</v>
      </c>
      <c r="U678" s="30">
        <v>298.59916167081451</v>
      </c>
      <c r="V678" s="30">
        <v>0</v>
      </c>
      <c r="W678" s="30">
        <v>0</v>
      </c>
      <c r="X678" s="30">
        <v>0</v>
      </c>
    </row>
    <row r="679" spans="10:24" x14ac:dyDescent="0.25">
      <c r="J679">
        <v>671</v>
      </c>
      <c r="K679" s="30">
        <v>2810.9856129855843</v>
      </c>
      <c r="L679" s="30">
        <v>2976.5862144946277</v>
      </c>
      <c r="M679" s="30">
        <v>3242.6152859211097</v>
      </c>
      <c r="N679" s="30">
        <v>2056.2250908018186</v>
      </c>
      <c r="O679" s="30">
        <v>922.05427160983982</v>
      </c>
      <c r="P679" s="30">
        <v>-889.66710379300457</v>
      </c>
      <c r="R679">
        <v>671</v>
      </c>
      <c r="S679" s="30">
        <v>284.20240986940831</v>
      </c>
      <c r="T679" s="30">
        <v>212.59808063464453</v>
      </c>
      <c r="U679" s="30">
        <v>0</v>
      </c>
      <c r="V679" s="30">
        <v>0</v>
      </c>
      <c r="W679" s="30">
        <v>0</v>
      </c>
      <c r="X679" s="30">
        <v>0</v>
      </c>
    </row>
    <row r="680" spans="10:24" x14ac:dyDescent="0.25">
      <c r="J680">
        <v>672</v>
      </c>
      <c r="K680" s="30">
        <v>3745.5560402612846</v>
      </c>
      <c r="L680" s="30">
        <v>2598.1775871036607</v>
      </c>
      <c r="M680" s="30">
        <v>2755.8485684912675</v>
      </c>
      <c r="N680" s="30">
        <v>-270.56714422750156</v>
      </c>
      <c r="O680" s="30">
        <v>-90.967092146893265</v>
      </c>
      <c r="P680" s="30">
        <v>-312.06575045036152</v>
      </c>
      <c r="R680">
        <v>672</v>
      </c>
      <c r="S680" s="30">
        <v>216.48357200802667</v>
      </c>
      <c r="T680" s="30">
        <v>294.27752771472257</v>
      </c>
      <c r="U680" s="30">
        <v>133.5810132099071</v>
      </c>
      <c r="V680" s="30">
        <v>0</v>
      </c>
      <c r="W680" s="30">
        <v>170.03981368932631</v>
      </c>
      <c r="X680" s="30">
        <v>0</v>
      </c>
    </row>
    <row r="681" spans="10:24" x14ac:dyDescent="0.25">
      <c r="J681">
        <v>673</v>
      </c>
      <c r="K681" s="30">
        <v>2770.0526954394609</v>
      </c>
      <c r="L681" s="30">
        <v>2669.2745858981148</v>
      </c>
      <c r="M681" s="30">
        <v>2209.507226876276</v>
      </c>
      <c r="N681" s="30">
        <v>-1134.2531385806005</v>
      </c>
      <c r="O681" s="30">
        <v>-541.1172227197394</v>
      </c>
      <c r="P681" s="30">
        <v>-2977.3258362339147</v>
      </c>
      <c r="R681">
        <v>673</v>
      </c>
      <c r="S681" s="30">
        <v>351.71740294479622</v>
      </c>
      <c r="T681" s="30">
        <v>288.84423959553112</v>
      </c>
      <c r="U681" s="30">
        <v>217.6423495123376</v>
      </c>
      <c r="V681" s="30">
        <v>0</v>
      </c>
      <c r="W681" s="30">
        <v>97.365374201325039</v>
      </c>
      <c r="X681" s="30">
        <v>0</v>
      </c>
    </row>
    <row r="682" spans="10:24" x14ac:dyDescent="0.25">
      <c r="J682">
        <v>674</v>
      </c>
      <c r="K682" s="30">
        <v>3121.3699633957867</v>
      </c>
      <c r="L682" s="30">
        <v>3047.7012084065846</v>
      </c>
      <c r="M682" s="30">
        <v>2530.1223511959997</v>
      </c>
      <c r="N682" s="30">
        <v>89.284651749966542</v>
      </c>
      <c r="O682" s="30">
        <v>20.999797818562001</v>
      </c>
      <c r="P682" s="30">
        <v>-1067.398375037109</v>
      </c>
      <c r="R682">
        <v>674</v>
      </c>
      <c r="S682" s="30">
        <v>249.41656297817843</v>
      </c>
      <c r="T682" s="30">
        <v>237.11695317696888</v>
      </c>
      <c r="U682" s="30">
        <v>91.339500535461752</v>
      </c>
      <c r="V682" s="30">
        <v>0</v>
      </c>
      <c r="W682" s="30">
        <v>0</v>
      </c>
      <c r="X682" s="30">
        <v>18.68847199238445</v>
      </c>
    </row>
    <row r="683" spans="10:24" x14ac:dyDescent="0.25">
      <c r="J683">
        <v>675</v>
      </c>
      <c r="K683" s="30">
        <v>3481.5704849297363</v>
      </c>
      <c r="L683" s="30">
        <v>3394.9960197455839</v>
      </c>
      <c r="M683" s="30">
        <v>4001.2450336053212</v>
      </c>
      <c r="N683" s="30">
        <v>1854.3311435265114</v>
      </c>
      <c r="O683" s="30">
        <v>1561.0668194103228</v>
      </c>
      <c r="P683" s="30">
        <v>2392.4092635304573</v>
      </c>
      <c r="R683">
        <v>675</v>
      </c>
      <c r="S683" s="30">
        <v>298.52436828539879</v>
      </c>
      <c r="T683" s="30">
        <v>284.66220401240361</v>
      </c>
      <c r="U683" s="30">
        <v>271.15314296246913</v>
      </c>
      <c r="V683" s="30">
        <v>0</v>
      </c>
      <c r="W683" s="30">
        <v>0</v>
      </c>
      <c r="X683" s="30">
        <v>0</v>
      </c>
    </row>
    <row r="684" spans="10:24" x14ac:dyDescent="0.25">
      <c r="J684">
        <v>676</v>
      </c>
      <c r="K684" s="30">
        <v>2121.6942590922467</v>
      </c>
      <c r="L684" s="30">
        <v>2092.6923655436244</v>
      </c>
      <c r="M684" s="30">
        <v>2547.77580690792</v>
      </c>
      <c r="N684" s="30">
        <v>-316.62193719689367</v>
      </c>
      <c r="O684" s="30">
        <v>1205.7266450175684</v>
      </c>
      <c r="P684" s="30">
        <v>-957.1531660384835</v>
      </c>
      <c r="R684">
        <v>676</v>
      </c>
      <c r="S684" s="30">
        <v>308.28271345248754</v>
      </c>
      <c r="T684" s="30">
        <v>219.77796600913092</v>
      </c>
      <c r="U684" s="30">
        <v>150.94168245251967</v>
      </c>
      <c r="V684" s="30">
        <v>0</v>
      </c>
      <c r="W684" s="30">
        <v>80.710826170663722</v>
      </c>
      <c r="X684" s="30">
        <v>0</v>
      </c>
    </row>
    <row r="685" spans="10:24" x14ac:dyDescent="0.25">
      <c r="J685">
        <v>677</v>
      </c>
      <c r="K685" s="30">
        <v>2724.5642619598448</v>
      </c>
      <c r="L685" s="30">
        <v>4163.516832530162</v>
      </c>
      <c r="M685" s="30">
        <v>3804.9876152550796</v>
      </c>
      <c r="N685" s="30">
        <v>314.68924967465864</v>
      </c>
      <c r="O685" s="30">
        <v>3862.0708080411086</v>
      </c>
      <c r="P685" s="30">
        <v>-697.43209407751237</v>
      </c>
      <c r="R685">
        <v>677</v>
      </c>
      <c r="S685" s="30">
        <v>329.62521723260204</v>
      </c>
      <c r="T685" s="30">
        <v>272.20920216611813</v>
      </c>
      <c r="U685" s="30">
        <v>41.122304168841879</v>
      </c>
      <c r="V685" s="30">
        <v>43.307487780096722</v>
      </c>
      <c r="W685" s="30">
        <v>34.67562435633738</v>
      </c>
      <c r="X685" s="30">
        <v>0</v>
      </c>
    </row>
    <row r="686" spans="10:24" x14ac:dyDescent="0.25">
      <c r="J686">
        <v>678</v>
      </c>
      <c r="K686" s="30">
        <v>3565.4728283519421</v>
      </c>
      <c r="L686" s="30">
        <v>2453.1479929255001</v>
      </c>
      <c r="M686" s="30">
        <v>2546.9402849010394</v>
      </c>
      <c r="N686" s="30">
        <v>-428.02707536313119</v>
      </c>
      <c r="O686" s="30">
        <v>-807.44939311136659</v>
      </c>
      <c r="P686" s="30">
        <v>-547.28676425647063</v>
      </c>
      <c r="R686">
        <v>678</v>
      </c>
      <c r="S686" s="30">
        <v>242.59177789541417</v>
      </c>
      <c r="T686" s="30">
        <v>249.96526487942083</v>
      </c>
      <c r="U686" s="30">
        <v>115.08969261922579</v>
      </c>
      <c r="V686" s="30">
        <v>0</v>
      </c>
      <c r="W686" s="30">
        <v>4.3325131799501833</v>
      </c>
      <c r="X686" s="30">
        <v>0</v>
      </c>
    </row>
    <row r="687" spans="10:24" x14ac:dyDescent="0.25">
      <c r="J687">
        <v>679</v>
      </c>
      <c r="K687" s="30">
        <v>3566.2661443522557</v>
      </c>
      <c r="L687" s="30">
        <v>2385.245568397454</v>
      </c>
      <c r="M687" s="30">
        <v>2232.3950633317199</v>
      </c>
      <c r="N687" s="30">
        <v>2609.6036200621238</v>
      </c>
      <c r="O687" s="30">
        <v>139.91847581625916</v>
      </c>
      <c r="P687" s="30">
        <v>411.7685783332181</v>
      </c>
      <c r="R687">
        <v>679</v>
      </c>
      <c r="S687" s="30">
        <v>277.37354768865731</v>
      </c>
      <c r="T687" s="30">
        <v>417.72927653799491</v>
      </c>
      <c r="U687" s="30">
        <v>222.95395268996447</v>
      </c>
      <c r="V687" s="30">
        <v>0</v>
      </c>
      <c r="W687" s="30">
        <v>0</v>
      </c>
      <c r="X687" s="30">
        <v>0</v>
      </c>
    </row>
    <row r="688" spans="10:24" x14ac:dyDescent="0.25">
      <c r="J688">
        <v>680</v>
      </c>
      <c r="K688" s="30">
        <v>3983.7825762099305</v>
      </c>
      <c r="L688" s="30">
        <v>2953.1773109820888</v>
      </c>
      <c r="M688" s="30">
        <v>1182.0435138930179</v>
      </c>
      <c r="N688" s="30">
        <v>1162.3559359996307</v>
      </c>
      <c r="O688" s="30">
        <v>2082.5686469399889</v>
      </c>
      <c r="P688" s="30">
        <v>-1601.1539102754514</v>
      </c>
      <c r="R688">
        <v>680</v>
      </c>
      <c r="S688" s="30">
        <v>250.13506562909794</v>
      </c>
      <c r="T688" s="30">
        <v>199.69121535449864</v>
      </c>
      <c r="U688" s="30">
        <v>136.48023852180927</v>
      </c>
      <c r="V688" s="30">
        <v>0</v>
      </c>
      <c r="W688" s="30">
        <v>0</v>
      </c>
      <c r="X688" s="30">
        <v>0</v>
      </c>
    </row>
    <row r="689" spans="10:24" x14ac:dyDescent="0.25">
      <c r="J689">
        <v>681</v>
      </c>
      <c r="K689" s="30">
        <v>2702.5093649173177</v>
      </c>
      <c r="L689" s="30">
        <v>3812.1003992891851</v>
      </c>
      <c r="M689" s="30">
        <v>2226.6308953871385</v>
      </c>
      <c r="N689" s="30">
        <v>269.56212461813629</v>
      </c>
      <c r="O689" s="30">
        <v>1430.6365878143242</v>
      </c>
      <c r="P689" s="30">
        <v>1289.8158255776953</v>
      </c>
      <c r="R689">
        <v>681</v>
      </c>
      <c r="S689" s="30">
        <v>361.53282170960881</v>
      </c>
      <c r="T689" s="30">
        <v>234.99244402179971</v>
      </c>
      <c r="U689" s="30">
        <v>248.32960303805504</v>
      </c>
      <c r="V689" s="30">
        <v>0</v>
      </c>
      <c r="W689" s="30">
        <v>0</v>
      </c>
      <c r="X689" s="30">
        <v>0</v>
      </c>
    </row>
    <row r="690" spans="10:24" x14ac:dyDescent="0.25">
      <c r="J690">
        <v>682</v>
      </c>
      <c r="K690" s="30">
        <v>3667.7308993148081</v>
      </c>
      <c r="L690" s="30">
        <v>2584.8533326929451</v>
      </c>
      <c r="M690" s="30">
        <v>2249.1244186598569</v>
      </c>
      <c r="N690" s="30">
        <v>399.25424170917177</v>
      </c>
      <c r="O690" s="30">
        <v>809.34090490860399</v>
      </c>
      <c r="P690" s="30">
        <v>-1002.4133469509952</v>
      </c>
      <c r="R690">
        <v>682</v>
      </c>
      <c r="S690" s="30">
        <v>178.76045245787566</v>
      </c>
      <c r="T690" s="30">
        <v>226.41363338551923</v>
      </c>
      <c r="U690" s="30">
        <v>124.22629070973238</v>
      </c>
      <c r="V690" s="30">
        <v>1.4307661670356993</v>
      </c>
      <c r="W690" s="30">
        <v>0</v>
      </c>
      <c r="X690" s="30">
        <v>3.584953419204453</v>
      </c>
    </row>
    <row r="691" spans="10:24" x14ac:dyDescent="0.25">
      <c r="J691">
        <v>683</v>
      </c>
      <c r="K691" s="30">
        <v>3300.769561904237</v>
      </c>
      <c r="L691" s="30">
        <v>2714.4546426686748</v>
      </c>
      <c r="M691" s="30">
        <v>2556.4187220085337</v>
      </c>
      <c r="N691" s="30">
        <v>1698.6400436678769</v>
      </c>
      <c r="O691" s="30">
        <v>-1274.9375730627007</v>
      </c>
      <c r="P691" s="30">
        <v>-1263.8762419877303</v>
      </c>
      <c r="R691">
        <v>683</v>
      </c>
      <c r="S691" s="30">
        <v>147.31258476774201</v>
      </c>
      <c r="T691" s="30">
        <v>183.50884462706006</v>
      </c>
      <c r="U691" s="30">
        <v>212.70618242166876</v>
      </c>
      <c r="V691" s="30">
        <v>0</v>
      </c>
      <c r="W691" s="30">
        <v>0</v>
      </c>
      <c r="X691" s="30">
        <v>0</v>
      </c>
    </row>
    <row r="692" spans="10:24" x14ac:dyDescent="0.25">
      <c r="J692">
        <v>684</v>
      </c>
      <c r="K692" s="30">
        <v>2595.9787243276114</v>
      </c>
      <c r="L692" s="30">
        <v>4245.45746735987</v>
      </c>
      <c r="M692" s="30">
        <v>1542.3942439731568</v>
      </c>
      <c r="N692" s="30">
        <v>297.33102382567358</v>
      </c>
      <c r="O692" s="30">
        <v>1120.3212543021727</v>
      </c>
      <c r="P692" s="30">
        <v>-2236.0637218241754</v>
      </c>
      <c r="R692">
        <v>684</v>
      </c>
      <c r="S692" s="30">
        <v>376.18155877550606</v>
      </c>
      <c r="T692" s="30">
        <v>299.30378679022317</v>
      </c>
      <c r="U692" s="30">
        <v>68.176316975783266</v>
      </c>
      <c r="V692" s="30">
        <v>18.039636390540181</v>
      </c>
      <c r="W692" s="30">
        <v>0</v>
      </c>
      <c r="X692" s="30">
        <v>0</v>
      </c>
    </row>
    <row r="693" spans="10:24" x14ac:dyDescent="0.25">
      <c r="J693">
        <v>685</v>
      </c>
      <c r="K693" s="30">
        <v>2144.8284027718246</v>
      </c>
      <c r="L693" s="30">
        <v>3647.5249697799118</v>
      </c>
      <c r="M693" s="30">
        <v>3159.2864126885297</v>
      </c>
      <c r="N693" s="30">
        <v>1881.2533032819356</v>
      </c>
      <c r="O693" s="30">
        <v>455.5358673317387</v>
      </c>
      <c r="P693" s="30">
        <v>-351.43007734259936</v>
      </c>
      <c r="R693">
        <v>685</v>
      </c>
      <c r="S693" s="30">
        <v>294.81850753672603</v>
      </c>
      <c r="T693" s="30">
        <v>257.73888801719511</v>
      </c>
      <c r="U693" s="30">
        <v>96.40565464002151</v>
      </c>
      <c r="V693" s="30">
        <v>0</v>
      </c>
      <c r="W693" s="30">
        <v>0</v>
      </c>
      <c r="X693" s="30">
        <v>0</v>
      </c>
    </row>
    <row r="694" spans="10:24" x14ac:dyDescent="0.25">
      <c r="J694">
        <v>686</v>
      </c>
      <c r="K694" s="30">
        <v>2414.6381488879806</v>
      </c>
      <c r="L694" s="30">
        <v>2177.7578465611791</v>
      </c>
      <c r="M694" s="30">
        <v>2393.52909265066</v>
      </c>
      <c r="N694" s="30">
        <v>1304.6954278750291</v>
      </c>
      <c r="O694" s="30">
        <v>450.52171916143016</v>
      </c>
      <c r="P694" s="30">
        <v>1860.3926609910131</v>
      </c>
      <c r="R694">
        <v>686</v>
      </c>
      <c r="S694" s="30">
        <v>220.49781282933918</v>
      </c>
      <c r="T694" s="30">
        <v>307.15208123161125</v>
      </c>
      <c r="U694" s="30">
        <v>245.08753138909509</v>
      </c>
      <c r="V694" s="30">
        <v>0</v>
      </c>
      <c r="W694" s="30">
        <v>0</v>
      </c>
      <c r="X694" s="30">
        <v>0</v>
      </c>
    </row>
    <row r="695" spans="10:24" x14ac:dyDescent="0.25">
      <c r="J695">
        <v>687</v>
      </c>
      <c r="K695" s="30">
        <v>2815.7128785985283</v>
      </c>
      <c r="L695" s="30">
        <v>3439.9271062897151</v>
      </c>
      <c r="M695" s="30">
        <v>2488.8950813579281</v>
      </c>
      <c r="N695" s="30">
        <v>-1299.8243973171375</v>
      </c>
      <c r="O695" s="30">
        <v>-609.33933157634874</v>
      </c>
      <c r="P695" s="30">
        <v>-1404.6275579461262</v>
      </c>
      <c r="R695">
        <v>687</v>
      </c>
      <c r="S695" s="30">
        <v>151.59907455276101</v>
      </c>
      <c r="T695" s="30">
        <v>311.69839086691638</v>
      </c>
      <c r="U695" s="30">
        <v>219.89564970704305</v>
      </c>
      <c r="V695" s="30">
        <v>48.785232039453035</v>
      </c>
      <c r="W695" s="30">
        <v>0</v>
      </c>
      <c r="X695" s="30">
        <v>0</v>
      </c>
    </row>
    <row r="696" spans="10:24" x14ac:dyDescent="0.25">
      <c r="J696">
        <v>688</v>
      </c>
      <c r="K696" s="30">
        <v>2641.2873492960189</v>
      </c>
      <c r="L696" s="30">
        <v>2633.2029019820488</v>
      </c>
      <c r="M696" s="30">
        <v>1722.3408079272167</v>
      </c>
      <c r="N696" s="30">
        <v>1469.9360295762972</v>
      </c>
      <c r="O696" s="30">
        <v>2875.2758271651546</v>
      </c>
      <c r="P696" s="30">
        <v>-302.63153561049603</v>
      </c>
      <c r="R696">
        <v>688</v>
      </c>
      <c r="S696" s="30">
        <v>147.01352220142849</v>
      </c>
      <c r="T696" s="30">
        <v>307.19783381505079</v>
      </c>
      <c r="U696" s="30">
        <v>169.07733337142247</v>
      </c>
      <c r="V696" s="30">
        <v>0</v>
      </c>
      <c r="W696" s="30">
        <v>0</v>
      </c>
      <c r="X696" s="30">
        <v>0</v>
      </c>
    </row>
    <row r="697" spans="10:24" x14ac:dyDescent="0.25">
      <c r="J697">
        <v>689</v>
      </c>
      <c r="K697" s="30">
        <v>3296.6215409091637</v>
      </c>
      <c r="L697" s="30">
        <v>2929.3336920212173</v>
      </c>
      <c r="M697" s="30">
        <v>2628.2197327052932</v>
      </c>
      <c r="N697" s="30">
        <v>414.57376191448748</v>
      </c>
      <c r="O697" s="30">
        <v>-0.38621305561991903</v>
      </c>
      <c r="P697" s="30">
        <v>-639.46079000858754</v>
      </c>
      <c r="R697">
        <v>689</v>
      </c>
      <c r="S697" s="30">
        <v>255.90065785381006</v>
      </c>
      <c r="T697" s="30">
        <v>436.10376916021028</v>
      </c>
      <c r="U697" s="30">
        <v>170.08227855999735</v>
      </c>
      <c r="V697" s="30">
        <v>1.2981759215904276</v>
      </c>
      <c r="W697" s="30">
        <v>0</v>
      </c>
      <c r="X697" s="30">
        <v>0</v>
      </c>
    </row>
    <row r="698" spans="10:24" x14ac:dyDescent="0.25">
      <c r="J698">
        <v>690</v>
      </c>
      <c r="K698" s="30">
        <v>2364.8189755455915</v>
      </c>
      <c r="L698" s="30">
        <v>1811.6439432559569</v>
      </c>
      <c r="M698" s="30">
        <v>1654.4296771889572</v>
      </c>
      <c r="N698" s="30">
        <v>-32.403464774321037</v>
      </c>
      <c r="O698" s="30">
        <v>4360.876257621584</v>
      </c>
      <c r="P698" s="30">
        <v>-873.6604514845767</v>
      </c>
      <c r="R698">
        <v>690</v>
      </c>
      <c r="S698" s="30">
        <v>228.26519999596616</v>
      </c>
      <c r="T698" s="30">
        <v>365.62561124793535</v>
      </c>
      <c r="U698" s="30">
        <v>119.89896236831788</v>
      </c>
      <c r="V698" s="30">
        <v>0</v>
      </c>
      <c r="W698" s="30">
        <v>0</v>
      </c>
      <c r="X698" s="30">
        <v>0</v>
      </c>
    </row>
    <row r="699" spans="10:24" x14ac:dyDescent="0.25">
      <c r="J699">
        <v>691</v>
      </c>
      <c r="K699" s="30">
        <v>2669.688248515462</v>
      </c>
      <c r="L699" s="30">
        <v>3779.5220874883121</v>
      </c>
      <c r="M699" s="30">
        <v>495.45526440653157</v>
      </c>
      <c r="N699" s="30">
        <v>-398.67701322438006</v>
      </c>
      <c r="O699" s="30">
        <v>363.75717706284286</v>
      </c>
      <c r="P699" s="30">
        <v>-2057.7789328572862</v>
      </c>
      <c r="R699">
        <v>691</v>
      </c>
      <c r="S699" s="30">
        <v>283.36769294399244</v>
      </c>
      <c r="T699" s="30">
        <v>408.93783480587388</v>
      </c>
      <c r="U699" s="30">
        <v>69.114161163220217</v>
      </c>
      <c r="V699" s="30">
        <v>87.031998319160323</v>
      </c>
      <c r="W699" s="30">
        <v>0</v>
      </c>
      <c r="X699" s="30">
        <v>0</v>
      </c>
    </row>
    <row r="700" spans="10:24" x14ac:dyDescent="0.25">
      <c r="J700">
        <v>692</v>
      </c>
      <c r="K700" s="30">
        <v>2265.7357077390625</v>
      </c>
      <c r="L700" s="30">
        <v>2736.952773846248</v>
      </c>
      <c r="M700" s="30">
        <v>3422.0951895460216</v>
      </c>
      <c r="N700" s="30">
        <v>-17.110616229778316</v>
      </c>
      <c r="O700" s="30">
        <v>3084.3937049885499</v>
      </c>
      <c r="P700" s="30">
        <v>-795.37051698506457</v>
      </c>
      <c r="R700">
        <v>692</v>
      </c>
      <c r="S700" s="30">
        <v>159.59431941252745</v>
      </c>
      <c r="T700" s="30">
        <v>281.55386873017227</v>
      </c>
      <c r="U700" s="30">
        <v>151.76262880070095</v>
      </c>
      <c r="V700" s="30">
        <v>0</v>
      </c>
      <c r="W700" s="30">
        <v>0</v>
      </c>
      <c r="X700" s="30">
        <v>142.78693876962558</v>
      </c>
    </row>
    <row r="701" spans="10:24" x14ac:dyDescent="0.25">
      <c r="J701">
        <v>693</v>
      </c>
      <c r="K701" s="30">
        <v>2762.6358986446826</v>
      </c>
      <c r="L701" s="30">
        <v>1979.2771292008047</v>
      </c>
      <c r="M701" s="30">
        <v>3154.7267734219249</v>
      </c>
      <c r="N701" s="30">
        <v>-40.198125985834849</v>
      </c>
      <c r="O701" s="30">
        <v>3495.927427940931</v>
      </c>
      <c r="P701" s="30">
        <v>-91.046729573177799</v>
      </c>
      <c r="R701">
        <v>693</v>
      </c>
      <c r="S701" s="30">
        <v>160.84443776032793</v>
      </c>
      <c r="T701" s="30">
        <v>256.10833843812406</v>
      </c>
      <c r="U701" s="30">
        <v>131.90261485277716</v>
      </c>
      <c r="V701" s="30">
        <v>0</v>
      </c>
      <c r="W701" s="30">
        <v>0</v>
      </c>
      <c r="X701" s="30">
        <v>0</v>
      </c>
    </row>
    <row r="702" spans="10:24" x14ac:dyDescent="0.25">
      <c r="J702">
        <v>694</v>
      </c>
      <c r="K702" s="30">
        <v>2095.3320438150463</v>
      </c>
      <c r="L702" s="30">
        <v>2818.808869341251</v>
      </c>
      <c r="M702" s="30">
        <v>2269.0338147560569</v>
      </c>
      <c r="N702" s="30">
        <v>1157.998492840874</v>
      </c>
      <c r="O702" s="30">
        <v>1611.1473799999912</v>
      </c>
      <c r="P702" s="30">
        <v>-3273.5137211662231</v>
      </c>
      <c r="R702">
        <v>694</v>
      </c>
      <c r="S702" s="30">
        <v>219.26170869633074</v>
      </c>
      <c r="T702" s="30">
        <v>276.35468564732093</v>
      </c>
      <c r="U702" s="30">
        <v>229.30606896691759</v>
      </c>
      <c r="V702" s="30">
        <v>0</v>
      </c>
      <c r="W702" s="30">
        <v>0</v>
      </c>
      <c r="X702" s="30">
        <v>0</v>
      </c>
    </row>
    <row r="703" spans="10:24" x14ac:dyDescent="0.25">
      <c r="J703">
        <v>695</v>
      </c>
      <c r="K703" s="30">
        <v>4141.0558324875756</v>
      </c>
      <c r="L703" s="30">
        <v>2641.6022069809505</v>
      </c>
      <c r="M703" s="30">
        <v>2676.5711501886367</v>
      </c>
      <c r="N703" s="30">
        <v>-753.56002025806083</v>
      </c>
      <c r="O703" s="30">
        <v>712.35273570987556</v>
      </c>
      <c r="P703" s="30">
        <v>225.83183259603902</v>
      </c>
      <c r="R703">
        <v>695</v>
      </c>
      <c r="S703" s="30">
        <v>287.18206507303785</v>
      </c>
      <c r="T703" s="30">
        <v>209.65526408628892</v>
      </c>
      <c r="U703" s="30">
        <v>160.34474075939482</v>
      </c>
      <c r="V703" s="30">
        <v>0</v>
      </c>
      <c r="W703" s="30">
        <v>0</v>
      </c>
      <c r="X703" s="30">
        <v>0</v>
      </c>
    </row>
    <row r="704" spans="10:24" x14ac:dyDescent="0.25">
      <c r="J704">
        <v>696</v>
      </c>
      <c r="K704" s="30">
        <v>3779.9381484602404</v>
      </c>
      <c r="L704" s="30">
        <v>3791.9610503727308</v>
      </c>
      <c r="M704" s="30">
        <v>3485.8672707267442</v>
      </c>
      <c r="N704" s="30">
        <v>1076.2979899977008</v>
      </c>
      <c r="O704" s="30">
        <v>278.137193936318</v>
      </c>
      <c r="P704" s="30">
        <v>1433.4963868552377</v>
      </c>
      <c r="R704">
        <v>696</v>
      </c>
      <c r="S704" s="30">
        <v>240.78005539554687</v>
      </c>
      <c r="T704" s="30">
        <v>435.10469006473613</v>
      </c>
      <c r="U704" s="30">
        <v>248.15703510667879</v>
      </c>
      <c r="V704" s="30">
        <v>82.798651717894018</v>
      </c>
      <c r="W704" s="30">
        <v>88.258508703144344</v>
      </c>
      <c r="X704" s="30">
        <v>0</v>
      </c>
    </row>
    <row r="705" spans="10:24" x14ac:dyDescent="0.25">
      <c r="J705">
        <v>697</v>
      </c>
      <c r="K705" s="30">
        <v>4347.952471727458</v>
      </c>
      <c r="L705" s="30">
        <v>4000.8676980082696</v>
      </c>
      <c r="M705" s="30">
        <v>2817.2581392484167</v>
      </c>
      <c r="N705" s="30">
        <v>3338.8135494848984</v>
      </c>
      <c r="O705" s="30">
        <v>53.803905515167571</v>
      </c>
      <c r="P705" s="30">
        <v>977.17757871833601</v>
      </c>
      <c r="R705">
        <v>697</v>
      </c>
      <c r="S705" s="30">
        <v>300.73941660760096</v>
      </c>
      <c r="T705" s="30">
        <v>302.18293217863373</v>
      </c>
      <c r="U705" s="30">
        <v>111.50554099169784</v>
      </c>
      <c r="V705" s="30">
        <v>0</v>
      </c>
      <c r="W705" s="30">
        <v>0</v>
      </c>
      <c r="X705" s="30">
        <v>0</v>
      </c>
    </row>
    <row r="706" spans="10:24" x14ac:dyDescent="0.25">
      <c r="J706">
        <v>698</v>
      </c>
      <c r="K706" s="30">
        <v>2239.2829669868429</v>
      </c>
      <c r="L706" s="30">
        <v>3911.1812926330917</v>
      </c>
      <c r="M706" s="30">
        <v>2945.4474492833033</v>
      </c>
      <c r="N706" s="30">
        <v>-984.80401231417545</v>
      </c>
      <c r="O706" s="30">
        <v>2287.2024672741827</v>
      </c>
      <c r="P706" s="30">
        <v>1766.4419717126257</v>
      </c>
      <c r="R706">
        <v>698</v>
      </c>
      <c r="S706" s="30">
        <v>314.44589306906579</v>
      </c>
      <c r="T706" s="30">
        <v>260.56166589424691</v>
      </c>
      <c r="U706" s="30">
        <v>187.26121088889039</v>
      </c>
      <c r="V706" s="30">
        <v>0</v>
      </c>
      <c r="W706" s="30">
        <v>0</v>
      </c>
      <c r="X706" s="30">
        <v>0</v>
      </c>
    </row>
    <row r="707" spans="10:24" x14ac:dyDescent="0.25">
      <c r="J707">
        <v>699</v>
      </c>
      <c r="K707" s="30">
        <v>2550.9732143154647</v>
      </c>
      <c r="L707" s="30">
        <v>1959.3349911253531</v>
      </c>
      <c r="M707" s="30">
        <v>1372.6974431478729</v>
      </c>
      <c r="N707" s="30">
        <v>-1711.1125667418682</v>
      </c>
      <c r="O707" s="30">
        <v>1696.9454089046458</v>
      </c>
      <c r="P707" s="30">
        <v>-1198.537836013149</v>
      </c>
      <c r="R707">
        <v>699</v>
      </c>
      <c r="S707" s="30">
        <v>257.62382069545828</v>
      </c>
      <c r="T707" s="30">
        <v>337.42602732211861</v>
      </c>
      <c r="U707" s="30">
        <v>126.88648397958201</v>
      </c>
      <c r="V707" s="30">
        <v>0</v>
      </c>
      <c r="W707" s="30">
        <v>0</v>
      </c>
      <c r="X707" s="30">
        <v>0</v>
      </c>
    </row>
    <row r="708" spans="10:24" x14ac:dyDescent="0.25">
      <c r="J708">
        <v>700</v>
      </c>
      <c r="K708" s="30">
        <v>2780.6784980829862</v>
      </c>
      <c r="L708" s="30">
        <v>3117.3327710097929</v>
      </c>
      <c r="M708" s="30">
        <v>3205.7765801245614</v>
      </c>
      <c r="N708" s="30">
        <v>1449.1505931453057</v>
      </c>
      <c r="O708" s="30">
        <v>803.11533068386052</v>
      </c>
      <c r="P708" s="30">
        <v>-1672.0845689887719</v>
      </c>
      <c r="R708">
        <v>700</v>
      </c>
      <c r="S708" s="30">
        <v>340.84049988277712</v>
      </c>
      <c r="T708" s="30">
        <v>338.68824792823665</v>
      </c>
      <c r="U708" s="30">
        <v>116.07794912285374</v>
      </c>
      <c r="V708" s="30">
        <v>0</v>
      </c>
      <c r="W708" s="30">
        <v>0</v>
      </c>
      <c r="X708" s="30">
        <v>0</v>
      </c>
    </row>
    <row r="709" spans="10:24" x14ac:dyDescent="0.25">
      <c r="J709">
        <v>701</v>
      </c>
      <c r="K709" s="30">
        <v>4052.4410865889763</v>
      </c>
      <c r="L709" s="30">
        <v>4047.9374073953895</v>
      </c>
      <c r="M709" s="30">
        <v>2141.7495146043289</v>
      </c>
      <c r="N709" s="30">
        <v>2116.5261563066115</v>
      </c>
      <c r="O709" s="30">
        <v>-790.92928407782438</v>
      </c>
      <c r="P709" s="30">
        <v>-744.70388436657231</v>
      </c>
      <c r="R709">
        <v>701</v>
      </c>
      <c r="S709" s="30">
        <v>224.46897910253438</v>
      </c>
      <c r="T709" s="30">
        <v>351.45099629458167</v>
      </c>
      <c r="U709" s="30">
        <v>205.74602241820284</v>
      </c>
      <c r="V709" s="30">
        <v>0</v>
      </c>
      <c r="W709" s="30">
        <v>0</v>
      </c>
      <c r="X709" s="30">
        <v>0</v>
      </c>
    </row>
    <row r="710" spans="10:24" x14ac:dyDescent="0.25">
      <c r="J710">
        <v>702</v>
      </c>
      <c r="K710" s="30">
        <v>3728.8109555893693</v>
      </c>
      <c r="L710" s="30">
        <v>2495.9975768635245</v>
      </c>
      <c r="M710" s="30">
        <v>2571.7007640490338</v>
      </c>
      <c r="N710" s="30">
        <v>1936.3902651387016</v>
      </c>
      <c r="O710" s="30">
        <v>-183.54518895676847</v>
      </c>
      <c r="P710" s="30">
        <v>-614.50733305081576</v>
      </c>
      <c r="R710">
        <v>702</v>
      </c>
      <c r="S710" s="30">
        <v>176.74126815819727</v>
      </c>
      <c r="T710" s="30">
        <v>308.06120564737961</v>
      </c>
      <c r="U710" s="30">
        <v>179.60849116919087</v>
      </c>
      <c r="V710" s="30">
        <v>0</v>
      </c>
      <c r="W710" s="30">
        <v>0</v>
      </c>
      <c r="X710" s="30">
        <v>0</v>
      </c>
    </row>
    <row r="711" spans="10:24" x14ac:dyDescent="0.25">
      <c r="J711">
        <v>703</v>
      </c>
      <c r="K711" s="30">
        <v>2550.4777590240092</v>
      </c>
      <c r="L711" s="30">
        <v>2582.5537072439542</v>
      </c>
      <c r="M711" s="30">
        <v>2589.4718838008175</v>
      </c>
      <c r="N711" s="30">
        <v>446.93942009082639</v>
      </c>
      <c r="O711" s="30">
        <v>2300.9949157859928</v>
      </c>
      <c r="P711" s="30">
        <v>-2408.8172395971442</v>
      </c>
      <c r="R711">
        <v>703</v>
      </c>
      <c r="S711" s="30">
        <v>384.95341366214683</v>
      </c>
      <c r="T711" s="30">
        <v>329.30101402310731</v>
      </c>
      <c r="U711" s="30">
        <v>183.76130057758797</v>
      </c>
      <c r="V711" s="30">
        <v>23.054088994836889</v>
      </c>
      <c r="W711" s="30">
        <v>0</v>
      </c>
      <c r="X711" s="30">
        <v>0</v>
      </c>
    </row>
    <row r="712" spans="10:24" x14ac:dyDescent="0.25">
      <c r="J712">
        <v>704</v>
      </c>
      <c r="K712" s="30">
        <v>4171.3944857921342</v>
      </c>
      <c r="L712" s="30">
        <v>2894.6369627630647</v>
      </c>
      <c r="M712" s="30">
        <v>2306.7647168486683</v>
      </c>
      <c r="N712" s="30">
        <v>1233.8858036156116</v>
      </c>
      <c r="O712" s="30">
        <v>636.18011965955611</v>
      </c>
      <c r="P712" s="30">
        <v>974.05483162873588</v>
      </c>
      <c r="R712">
        <v>704</v>
      </c>
      <c r="S712" s="30">
        <v>295.97829600705762</v>
      </c>
      <c r="T712" s="30">
        <v>501.29920036673843</v>
      </c>
      <c r="U712" s="30">
        <v>190.80081058873759</v>
      </c>
      <c r="V712" s="30">
        <v>0</v>
      </c>
      <c r="W712" s="30">
        <v>0</v>
      </c>
      <c r="X712" s="30">
        <v>0</v>
      </c>
    </row>
    <row r="713" spans="10:24" x14ac:dyDescent="0.25">
      <c r="J713">
        <v>705</v>
      </c>
      <c r="K713" s="30">
        <v>4265.619203992791</v>
      </c>
      <c r="L713" s="30">
        <v>4078.6275777738988</v>
      </c>
      <c r="M713" s="30">
        <v>3303.1538372520235</v>
      </c>
      <c r="N713" s="30">
        <v>-1568.347821695048</v>
      </c>
      <c r="O713" s="30">
        <v>-623.12233281499266</v>
      </c>
      <c r="P713" s="30">
        <v>-844.55217440178512</v>
      </c>
      <c r="R713">
        <v>705</v>
      </c>
      <c r="S713" s="30">
        <v>288.06938220670497</v>
      </c>
      <c r="T713" s="30">
        <v>232.78860523617573</v>
      </c>
      <c r="U713" s="30">
        <v>186.43389536667672</v>
      </c>
      <c r="V713" s="30">
        <v>0</v>
      </c>
      <c r="W713" s="30">
        <v>0</v>
      </c>
      <c r="X713" s="30">
        <v>0</v>
      </c>
    </row>
    <row r="714" spans="10:24" x14ac:dyDescent="0.25">
      <c r="J714">
        <v>706</v>
      </c>
      <c r="K714" s="30">
        <v>3421.136150870258</v>
      </c>
      <c r="L714" s="30">
        <v>2754.8429627037203</v>
      </c>
      <c r="M714" s="30">
        <v>3841.7412606050907</v>
      </c>
      <c r="N714" s="30">
        <v>1369.8860645317873</v>
      </c>
      <c r="O714" s="30">
        <v>-2759.6568534251164</v>
      </c>
      <c r="P714" s="30">
        <v>2000.8340409243901</v>
      </c>
      <c r="R714">
        <v>706</v>
      </c>
      <c r="S714" s="30">
        <v>338.47914131785336</v>
      </c>
      <c r="T714" s="30">
        <v>420.28421370336383</v>
      </c>
      <c r="U714" s="30">
        <v>81.832247378130944</v>
      </c>
      <c r="V714" s="30">
        <v>0</v>
      </c>
      <c r="W714" s="30">
        <v>17.868977302311009</v>
      </c>
      <c r="X714" s="30">
        <v>0</v>
      </c>
    </row>
    <row r="715" spans="10:24" x14ac:dyDescent="0.25">
      <c r="J715">
        <v>707</v>
      </c>
      <c r="K715" s="30">
        <v>2211.2722973912373</v>
      </c>
      <c r="L715" s="30">
        <v>2677.3646085294222</v>
      </c>
      <c r="M715" s="30">
        <v>3233.6895833722047</v>
      </c>
      <c r="N715" s="30">
        <v>-293.20232449599462</v>
      </c>
      <c r="O715" s="30">
        <v>1134.6565108663672</v>
      </c>
      <c r="P715" s="30">
        <v>-977.29323183055749</v>
      </c>
      <c r="R715">
        <v>707</v>
      </c>
      <c r="S715" s="30">
        <v>228.9864679765754</v>
      </c>
      <c r="T715" s="30">
        <v>331.00049187977083</v>
      </c>
      <c r="U715" s="30">
        <v>132.41051346553832</v>
      </c>
      <c r="V715" s="30">
        <v>0</v>
      </c>
      <c r="W715" s="30">
        <v>43.823252720008213</v>
      </c>
      <c r="X715" s="30">
        <v>0</v>
      </c>
    </row>
    <row r="716" spans="10:24" x14ac:dyDescent="0.25">
      <c r="J716">
        <v>708</v>
      </c>
      <c r="K716" s="30">
        <v>3207.1902452343284</v>
      </c>
      <c r="L716" s="30">
        <v>2020.2705318970402</v>
      </c>
      <c r="M716" s="30">
        <v>1790.850373396861</v>
      </c>
      <c r="N716" s="30">
        <v>3085.242875813542</v>
      </c>
      <c r="O716" s="30">
        <v>-345.85599436351549</v>
      </c>
      <c r="P716" s="30">
        <v>162.90175132119748</v>
      </c>
      <c r="R716">
        <v>708</v>
      </c>
      <c r="S716" s="30">
        <v>267.63514801828154</v>
      </c>
      <c r="T716" s="30">
        <v>306.3643863926136</v>
      </c>
      <c r="U716" s="30">
        <v>166.06582387337676</v>
      </c>
      <c r="V716" s="30">
        <v>0</v>
      </c>
      <c r="W716" s="30">
        <v>114.15548365959847</v>
      </c>
      <c r="X716" s="30">
        <v>0</v>
      </c>
    </row>
    <row r="717" spans="10:24" x14ac:dyDescent="0.25">
      <c r="J717">
        <v>709</v>
      </c>
      <c r="K717" s="30">
        <v>2621.0929037982792</v>
      </c>
      <c r="L717" s="30">
        <v>3947.7405714311549</v>
      </c>
      <c r="M717" s="30">
        <v>36.246262552546796</v>
      </c>
      <c r="N717" s="30">
        <v>-264.45076653680553</v>
      </c>
      <c r="O717" s="30">
        <v>2465.8524708405312</v>
      </c>
      <c r="P717" s="30">
        <v>-2253.2024175850593</v>
      </c>
      <c r="R717">
        <v>709</v>
      </c>
      <c r="S717" s="30">
        <v>227.07444128410106</v>
      </c>
      <c r="T717" s="30">
        <v>306.05965093550691</v>
      </c>
      <c r="U717" s="30">
        <v>240.96907266671212</v>
      </c>
      <c r="V717" s="30">
        <v>0</v>
      </c>
      <c r="W717" s="30">
        <v>0</v>
      </c>
      <c r="X717" s="30">
        <v>0</v>
      </c>
    </row>
    <row r="718" spans="10:24" x14ac:dyDescent="0.25">
      <c r="J718">
        <v>710</v>
      </c>
      <c r="K718" s="30">
        <v>2613.2856235715526</v>
      </c>
      <c r="L718" s="30">
        <v>2474.0599974957108</v>
      </c>
      <c r="M718" s="30">
        <v>3976.6922987155617</v>
      </c>
      <c r="N718" s="30">
        <v>675.87327140353864</v>
      </c>
      <c r="O718" s="30">
        <v>1715.7753641730123</v>
      </c>
      <c r="P718" s="30">
        <v>-227.89888252741184</v>
      </c>
      <c r="R718">
        <v>710</v>
      </c>
      <c r="S718" s="30">
        <v>266.24151523848241</v>
      </c>
      <c r="T718" s="30">
        <v>270.22176535148947</v>
      </c>
      <c r="U718" s="30">
        <v>66.626765663684353</v>
      </c>
      <c r="V718" s="30">
        <v>0</v>
      </c>
      <c r="W718" s="30">
        <v>101.05674624501796</v>
      </c>
      <c r="X718" s="30">
        <v>0</v>
      </c>
    </row>
    <row r="719" spans="10:24" x14ac:dyDescent="0.25">
      <c r="J719">
        <v>711</v>
      </c>
      <c r="K719" s="30">
        <v>3407.0881002591777</v>
      </c>
      <c r="L719" s="30">
        <v>3983.7030810005344</v>
      </c>
      <c r="M719" s="30">
        <v>2088.2760335568128</v>
      </c>
      <c r="N719" s="30">
        <v>2613.6307380585831</v>
      </c>
      <c r="O719" s="30">
        <v>1614.2166261816565</v>
      </c>
      <c r="P719" s="30">
        <v>89.301063976640762</v>
      </c>
      <c r="R719">
        <v>711</v>
      </c>
      <c r="S719" s="30">
        <v>161.99772944317533</v>
      </c>
      <c r="T719" s="30">
        <v>284.48502271281114</v>
      </c>
      <c r="U719" s="30">
        <v>161.99063117243549</v>
      </c>
      <c r="V719" s="30">
        <v>0</v>
      </c>
      <c r="W719" s="30">
        <v>0</v>
      </c>
      <c r="X719" s="30">
        <v>0</v>
      </c>
    </row>
    <row r="720" spans="10:24" x14ac:dyDescent="0.25">
      <c r="J720">
        <v>712</v>
      </c>
      <c r="K720" s="30">
        <v>1986.441076415912</v>
      </c>
      <c r="L720" s="30">
        <v>3171.8821385975916</v>
      </c>
      <c r="M720" s="30">
        <v>3541.1734501921428</v>
      </c>
      <c r="N720" s="30">
        <v>-507.88955771975634</v>
      </c>
      <c r="O720" s="30">
        <v>869.75329314913324</v>
      </c>
      <c r="P720" s="30">
        <v>-1454.7218050576275</v>
      </c>
      <c r="R720">
        <v>712</v>
      </c>
      <c r="S720" s="30">
        <v>298.09419071767212</v>
      </c>
      <c r="T720" s="30">
        <v>300.37389597404439</v>
      </c>
      <c r="U720" s="30">
        <v>189.7399720192218</v>
      </c>
      <c r="V720" s="30">
        <v>0</v>
      </c>
      <c r="W720" s="30">
        <v>0</v>
      </c>
      <c r="X720" s="30">
        <v>0</v>
      </c>
    </row>
    <row r="721" spans="10:24" x14ac:dyDescent="0.25">
      <c r="J721">
        <v>713</v>
      </c>
      <c r="K721" s="30">
        <v>3702.2396847076207</v>
      </c>
      <c r="L721" s="30">
        <v>2291.8822881493993</v>
      </c>
      <c r="M721" s="30">
        <v>2203.2703172624588</v>
      </c>
      <c r="N721" s="30">
        <v>3866.5510341981908</v>
      </c>
      <c r="O721" s="30">
        <v>2269.0668220445777</v>
      </c>
      <c r="P721" s="30">
        <v>-2443.4095074369161</v>
      </c>
      <c r="R721">
        <v>713</v>
      </c>
      <c r="S721" s="30">
        <v>243.10741413564625</v>
      </c>
      <c r="T721" s="30">
        <v>397.15465637848865</v>
      </c>
      <c r="U721" s="30">
        <v>216.36788201105284</v>
      </c>
      <c r="V721" s="30">
        <v>0</v>
      </c>
      <c r="W721" s="30">
        <v>0</v>
      </c>
      <c r="X721" s="30">
        <v>0</v>
      </c>
    </row>
    <row r="722" spans="10:24" x14ac:dyDescent="0.25">
      <c r="J722">
        <v>714</v>
      </c>
      <c r="K722" s="30">
        <v>1752.0319886274751</v>
      </c>
      <c r="L722" s="30">
        <v>3560.089613923391</v>
      </c>
      <c r="M722" s="30">
        <v>1020.700170905222</v>
      </c>
      <c r="N722" s="30">
        <v>420.11858475915506</v>
      </c>
      <c r="O722" s="30">
        <v>173.87664361796305</v>
      </c>
      <c r="P722" s="30">
        <v>-988.14866235641239</v>
      </c>
      <c r="R722">
        <v>714</v>
      </c>
      <c r="S722" s="30">
        <v>356.12145439068883</v>
      </c>
      <c r="T722" s="30">
        <v>291.7403608663289</v>
      </c>
      <c r="U722" s="30">
        <v>186.15688407095706</v>
      </c>
      <c r="V722" s="30">
        <v>81.122821243953808</v>
      </c>
      <c r="W722" s="30">
        <v>0</v>
      </c>
      <c r="X722" s="30">
        <v>0</v>
      </c>
    </row>
    <row r="723" spans="10:24" x14ac:dyDescent="0.25">
      <c r="J723">
        <v>715</v>
      </c>
      <c r="K723" s="30">
        <v>3369.7803320911135</v>
      </c>
      <c r="L723" s="30">
        <v>2371.8406506322222</v>
      </c>
      <c r="M723" s="30">
        <v>2620.5951408768383</v>
      </c>
      <c r="N723" s="30">
        <v>1721.9764580846513</v>
      </c>
      <c r="O723" s="30">
        <v>2106.9646967181425</v>
      </c>
      <c r="P723" s="30">
        <v>-43.534184230133178</v>
      </c>
      <c r="R723">
        <v>715</v>
      </c>
      <c r="S723" s="30">
        <v>158.54475002938563</v>
      </c>
      <c r="T723" s="30">
        <v>333.11084882196911</v>
      </c>
      <c r="U723" s="30">
        <v>214.27708066945661</v>
      </c>
      <c r="V723" s="30">
        <v>0</v>
      </c>
      <c r="W723" s="30">
        <v>163.46379810465709</v>
      </c>
      <c r="X723" s="30">
        <v>0</v>
      </c>
    </row>
    <row r="724" spans="10:24" x14ac:dyDescent="0.25">
      <c r="J724">
        <v>716</v>
      </c>
      <c r="K724" s="30">
        <v>2567.9575063015345</v>
      </c>
      <c r="L724" s="30">
        <v>3076.1955047305814</v>
      </c>
      <c r="M724" s="30">
        <v>2187.9386916531234</v>
      </c>
      <c r="N724" s="30">
        <v>903.51647846127162</v>
      </c>
      <c r="O724" s="30">
        <v>581.9813392655542</v>
      </c>
      <c r="P724" s="30">
        <v>1061.5008171657491</v>
      </c>
      <c r="R724">
        <v>716</v>
      </c>
      <c r="S724" s="30">
        <v>201.74199883863957</v>
      </c>
      <c r="T724" s="30">
        <v>311.98236941579086</v>
      </c>
      <c r="U724" s="30">
        <v>223.02511363474667</v>
      </c>
      <c r="V724" s="30">
        <v>0</v>
      </c>
      <c r="W724" s="30">
        <v>34.963914013859494</v>
      </c>
      <c r="X724" s="30">
        <v>0</v>
      </c>
    </row>
    <row r="725" spans="10:24" x14ac:dyDescent="0.25">
      <c r="J725">
        <v>717</v>
      </c>
      <c r="K725" s="30">
        <v>2484.134337864517</v>
      </c>
      <c r="L725" s="30">
        <v>2035.7415228557024</v>
      </c>
      <c r="M725" s="30">
        <v>2220.0163367890032</v>
      </c>
      <c r="N725" s="30">
        <v>421.38396987053147</v>
      </c>
      <c r="O725" s="30">
        <v>-1233.7558011574383</v>
      </c>
      <c r="P725" s="30">
        <v>133.0847972549991</v>
      </c>
      <c r="R725">
        <v>717</v>
      </c>
      <c r="S725" s="30">
        <v>250.66548844803907</v>
      </c>
      <c r="T725" s="30">
        <v>360.71418343237764</v>
      </c>
      <c r="U725" s="30">
        <v>177.7326950822615</v>
      </c>
      <c r="V725" s="30">
        <v>0</v>
      </c>
      <c r="W725" s="30">
        <v>0</v>
      </c>
      <c r="X725" s="30">
        <v>0</v>
      </c>
    </row>
    <row r="726" spans="10:24" x14ac:dyDescent="0.25">
      <c r="J726">
        <v>718</v>
      </c>
      <c r="K726" s="30">
        <v>2379.7325128660887</v>
      </c>
      <c r="L726" s="30">
        <v>4130.8934395814558</v>
      </c>
      <c r="M726" s="30">
        <v>2752.8945104148593</v>
      </c>
      <c r="N726" s="30">
        <v>-238.34785298549741</v>
      </c>
      <c r="O726" s="30">
        <v>695.68190717367088</v>
      </c>
      <c r="P726" s="30">
        <v>-1367.7740638460446</v>
      </c>
      <c r="R726">
        <v>718</v>
      </c>
      <c r="S726" s="30">
        <v>220.70525427670322</v>
      </c>
      <c r="T726" s="30">
        <v>348.42328031885006</v>
      </c>
      <c r="U726" s="30">
        <v>222.62326179873699</v>
      </c>
      <c r="V726" s="30">
        <v>0</v>
      </c>
      <c r="W726" s="30">
        <v>0</v>
      </c>
      <c r="X726" s="30">
        <v>0</v>
      </c>
    </row>
    <row r="727" spans="10:24" x14ac:dyDescent="0.25">
      <c r="J727">
        <v>719</v>
      </c>
      <c r="K727" s="30">
        <v>2588.8477339545511</v>
      </c>
      <c r="L727" s="30">
        <v>2146.2954170163684</v>
      </c>
      <c r="M727" s="30">
        <v>2662.0340632243738</v>
      </c>
      <c r="N727" s="30">
        <v>251.95174255557868</v>
      </c>
      <c r="O727" s="30">
        <v>1204.3373344041875</v>
      </c>
      <c r="P727" s="30">
        <v>-637.11566251248678</v>
      </c>
      <c r="R727">
        <v>719</v>
      </c>
      <c r="S727" s="30">
        <v>350.75590641624149</v>
      </c>
      <c r="T727" s="30">
        <v>234.22891915211687</v>
      </c>
      <c r="U727" s="30">
        <v>149.05670891108383</v>
      </c>
      <c r="V727" s="30">
        <v>0</v>
      </c>
      <c r="W727" s="30">
        <v>0</v>
      </c>
      <c r="X727" s="30">
        <v>0</v>
      </c>
    </row>
    <row r="728" spans="10:24" x14ac:dyDescent="0.25">
      <c r="J728">
        <v>720</v>
      </c>
      <c r="K728" s="30">
        <v>2616.2786103687754</v>
      </c>
      <c r="L728" s="30">
        <v>3864.5010098495277</v>
      </c>
      <c r="M728" s="30">
        <v>3299.1009693137912</v>
      </c>
      <c r="N728" s="30">
        <v>-759.4367648496991</v>
      </c>
      <c r="O728" s="30">
        <v>2737.1915066650963</v>
      </c>
      <c r="P728" s="30">
        <v>-2879.588637111643</v>
      </c>
      <c r="R728">
        <v>720</v>
      </c>
      <c r="S728" s="30">
        <v>318.38217225673912</v>
      </c>
      <c r="T728" s="30">
        <v>276.671511260709</v>
      </c>
      <c r="U728" s="30">
        <v>136.25394874179881</v>
      </c>
      <c r="V728" s="30">
        <v>37.386137413951587</v>
      </c>
      <c r="W728" s="30">
        <v>0</v>
      </c>
      <c r="X728" s="30">
        <v>0</v>
      </c>
    </row>
    <row r="729" spans="10:24" x14ac:dyDescent="0.25">
      <c r="J729">
        <v>721</v>
      </c>
      <c r="K729" s="30">
        <v>2581.8437532515709</v>
      </c>
      <c r="L729" s="30">
        <v>2828.6064403117261</v>
      </c>
      <c r="M729" s="30">
        <v>3950.1007974293552</v>
      </c>
      <c r="N729" s="30">
        <v>1311.304162186394</v>
      </c>
      <c r="O729" s="30">
        <v>2643.3942226308836</v>
      </c>
      <c r="P729" s="30">
        <v>-1675.6829296162641</v>
      </c>
      <c r="R729">
        <v>721</v>
      </c>
      <c r="S729" s="30">
        <v>215.31525979665423</v>
      </c>
      <c r="T729" s="30">
        <v>363.4680441591521</v>
      </c>
      <c r="U729" s="30">
        <v>220.8110835209759</v>
      </c>
      <c r="V729" s="30">
        <v>0</v>
      </c>
      <c r="W729" s="30">
        <v>0</v>
      </c>
      <c r="X729" s="30">
        <v>0</v>
      </c>
    </row>
    <row r="730" spans="10:24" x14ac:dyDescent="0.25">
      <c r="J730">
        <v>722</v>
      </c>
      <c r="K730" s="30">
        <v>3235.3058825444273</v>
      </c>
      <c r="L730" s="30">
        <v>2661.6841536509592</v>
      </c>
      <c r="M730" s="30">
        <v>1119.1347910351742</v>
      </c>
      <c r="N730" s="30">
        <v>-628.5404328651075</v>
      </c>
      <c r="O730" s="30">
        <v>82.291372420179869</v>
      </c>
      <c r="P730" s="30">
        <v>-2115.9309323142697</v>
      </c>
      <c r="R730">
        <v>722</v>
      </c>
      <c r="S730" s="30">
        <v>167.3946558375149</v>
      </c>
      <c r="T730" s="30">
        <v>356.71338908997757</v>
      </c>
      <c r="U730" s="30">
        <v>205.86616709957491</v>
      </c>
      <c r="V730" s="30">
        <v>123.02418176171938</v>
      </c>
      <c r="W730" s="30">
        <v>0</v>
      </c>
      <c r="X730" s="30">
        <v>0</v>
      </c>
    </row>
    <row r="731" spans="10:24" x14ac:dyDescent="0.25">
      <c r="J731">
        <v>723</v>
      </c>
      <c r="K731" s="30">
        <v>2342.1873933925644</v>
      </c>
      <c r="L731" s="30">
        <v>4212.5192412594151</v>
      </c>
      <c r="M731" s="30">
        <v>1857.5983609316281</v>
      </c>
      <c r="N731" s="30">
        <v>-886.67366460521225</v>
      </c>
      <c r="O731" s="30">
        <v>3255.8399496877973</v>
      </c>
      <c r="P731" s="30">
        <v>812.64467044859884</v>
      </c>
      <c r="R731">
        <v>723</v>
      </c>
      <c r="S731" s="30">
        <v>191.06710082192626</v>
      </c>
      <c r="T731" s="30">
        <v>310.6250919990992</v>
      </c>
      <c r="U731" s="30">
        <v>181.67113190225518</v>
      </c>
      <c r="V731" s="30">
        <v>0</v>
      </c>
      <c r="W731" s="30">
        <v>12.16693715625911</v>
      </c>
      <c r="X731" s="30">
        <v>0</v>
      </c>
    </row>
    <row r="732" spans="10:24" x14ac:dyDescent="0.25">
      <c r="J732">
        <v>724</v>
      </c>
      <c r="K732" s="30">
        <v>3851.8013017938424</v>
      </c>
      <c r="L732" s="30">
        <v>4162.4451251708215</v>
      </c>
      <c r="M732" s="30">
        <v>3491.4574258914508</v>
      </c>
      <c r="N732" s="30">
        <v>1747.3203266836281</v>
      </c>
      <c r="O732" s="30">
        <v>2726.8656109885787</v>
      </c>
      <c r="P732" s="30">
        <v>228.50777377431859</v>
      </c>
      <c r="R732">
        <v>724</v>
      </c>
      <c r="S732" s="30">
        <v>360.52441458177293</v>
      </c>
      <c r="T732" s="30">
        <v>314.1918413220875</v>
      </c>
      <c r="U732" s="30">
        <v>142.88838851016038</v>
      </c>
      <c r="V732" s="30">
        <v>0</v>
      </c>
      <c r="W732" s="30">
        <v>53.269336454525387</v>
      </c>
      <c r="X732" s="30">
        <v>0</v>
      </c>
    </row>
    <row r="733" spans="10:24" x14ac:dyDescent="0.25">
      <c r="J733">
        <v>725</v>
      </c>
      <c r="K733" s="30">
        <v>2443.5118407949544</v>
      </c>
      <c r="L733" s="30">
        <v>2142.6432150844194</v>
      </c>
      <c r="M733" s="30">
        <v>2285.0864251353241</v>
      </c>
      <c r="N733" s="30">
        <v>367.83534893112756</v>
      </c>
      <c r="O733" s="30">
        <v>1454.6761044407031</v>
      </c>
      <c r="P733" s="30">
        <v>-1185.2884093637686</v>
      </c>
      <c r="R733">
        <v>725</v>
      </c>
      <c r="S733" s="30">
        <v>288.42349591339286</v>
      </c>
      <c r="T733" s="30">
        <v>227.4996469984564</v>
      </c>
      <c r="U733" s="30">
        <v>241.57051005504468</v>
      </c>
      <c r="V733" s="30">
        <v>178.38116730764943</v>
      </c>
      <c r="W733" s="30">
        <v>0</v>
      </c>
      <c r="X733" s="30">
        <v>0</v>
      </c>
    </row>
    <row r="734" spans="10:24" x14ac:dyDescent="0.25">
      <c r="J734">
        <v>726</v>
      </c>
      <c r="K734" s="30">
        <v>2897.8305226322686</v>
      </c>
      <c r="L734" s="30">
        <v>3745.8501057692947</v>
      </c>
      <c r="M734" s="30">
        <v>1864.0409761710025</v>
      </c>
      <c r="N734" s="30">
        <v>406.14612036076323</v>
      </c>
      <c r="O734" s="30">
        <v>1636.6908903772191</v>
      </c>
      <c r="P734" s="30">
        <v>-22.593249153301258</v>
      </c>
      <c r="R734">
        <v>726</v>
      </c>
      <c r="S734" s="30">
        <v>292.71096545862468</v>
      </c>
      <c r="T734" s="30">
        <v>322.84601322131118</v>
      </c>
      <c r="U734" s="30">
        <v>212.32810449708222</v>
      </c>
      <c r="V734" s="30">
        <v>0</v>
      </c>
      <c r="W734" s="30">
        <v>0</v>
      </c>
      <c r="X734" s="30">
        <v>0</v>
      </c>
    </row>
    <row r="735" spans="10:24" x14ac:dyDescent="0.25">
      <c r="J735">
        <v>727</v>
      </c>
      <c r="K735" s="30">
        <v>3239.834879870743</v>
      </c>
      <c r="L735" s="30">
        <v>3478.2436163900234</v>
      </c>
      <c r="M735" s="30">
        <v>2649.3015357668291</v>
      </c>
      <c r="N735" s="30">
        <v>1978.7697287822748</v>
      </c>
      <c r="O735" s="30">
        <v>-9.2206109481294334</v>
      </c>
      <c r="P735" s="30">
        <v>-1766.9201187299614</v>
      </c>
      <c r="R735">
        <v>727</v>
      </c>
      <c r="S735" s="30">
        <v>309.79142158205133</v>
      </c>
      <c r="T735" s="30">
        <v>242.45245963971468</v>
      </c>
      <c r="U735" s="30">
        <v>201.75093542141792</v>
      </c>
      <c r="V735" s="30">
        <v>0</v>
      </c>
      <c r="W735" s="30">
        <v>9.4227627654207708</v>
      </c>
      <c r="X735" s="30">
        <v>0</v>
      </c>
    </row>
    <row r="736" spans="10:24" x14ac:dyDescent="0.25">
      <c r="J736">
        <v>728</v>
      </c>
      <c r="K736" s="30">
        <v>1912.3245752319253</v>
      </c>
      <c r="L736" s="30">
        <v>3078.0313925627452</v>
      </c>
      <c r="M736" s="30">
        <v>1976.1946464993634</v>
      </c>
      <c r="N736" s="30">
        <v>-205.63887839433391</v>
      </c>
      <c r="O736" s="30">
        <v>3953.5584410091178</v>
      </c>
      <c r="P736" s="30">
        <v>-425.08991647422044</v>
      </c>
      <c r="R736">
        <v>728</v>
      </c>
      <c r="S736" s="30">
        <v>238.17868470467579</v>
      </c>
      <c r="T736" s="30">
        <v>309.53994545905431</v>
      </c>
      <c r="U736" s="30">
        <v>88.653374401405074</v>
      </c>
      <c r="V736" s="30">
        <v>0</v>
      </c>
      <c r="W736" s="30">
        <v>0</v>
      </c>
      <c r="X736" s="30">
        <v>0</v>
      </c>
    </row>
    <row r="737" spans="10:24" x14ac:dyDescent="0.25">
      <c r="J737">
        <v>729</v>
      </c>
      <c r="K737" s="30">
        <v>2768.5589633013897</v>
      </c>
      <c r="L737" s="30">
        <v>3042.6427799723924</v>
      </c>
      <c r="M737" s="30">
        <v>3490.4576673008578</v>
      </c>
      <c r="N737" s="30">
        <v>-97.549157165021825</v>
      </c>
      <c r="O737" s="30">
        <v>268.21367231102613</v>
      </c>
      <c r="P737" s="30">
        <v>-1520.2549594133789</v>
      </c>
      <c r="R737">
        <v>729</v>
      </c>
      <c r="S737" s="30">
        <v>350.2685736068504</v>
      </c>
      <c r="T737" s="30">
        <v>331.30892835360453</v>
      </c>
      <c r="U737" s="30">
        <v>193.10706578445712</v>
      </c>
      <c r="V737" s="30">
        <v>0</v>
      </c>
      <c r="W737" s="30">
        <v>73.045448316434431</v>
      </c>
      <c r="X737" s="30">
        <v>0</v>
      </c>
    </row>
    <row r="738" spans="10:24" x14ac:dyDescent="0.25">
      <c r="J738">
        <v>730</v>
      </c>
      <c r="K738" s="30">
        <v>2363.0071097515001</v>
      </c>
      <c r="L738" s="30">
        <v>2740.2981914151178</v>
      </c>
      <c r="M738" s="30">
        <v>3977.4133875035864</v>
      </c>
      <c r="N738" s="30">
        <v>-842.13629036024486</v>
      </c>
      <c r="O738" s="30">
        <v>1585.0741936308077</v>
      </c>
      <c r="P738" s="30">
        <v>-871.37671579800735</v>
      </c>
      <c r="R738">
        <v>730</v>
      </c>
      <c r="S738" s="30">
        <v>152.6318340011203</v>
      </c>
      <c r="T738" s="30">
        <v>145.96739692876235</v>
      </c>
      <c r="U738" s="30">
        <v>216.2641477013081</v>
      </c>
      <c r="V738" s="30">
        <v>0</v>
      </c>
      <c r="W738" s="30">
        <v>0</v>
      </c>
      <c r="X738" s="30">
        <v>0</v>
      </c>
    </row>
    <row r="739" spans="10:24" x14ac:dyDescent="0.25">
      <c r="J739">
        <v>731</v>
      </c>
      <c r="K739" s="30">
        <v>3896.8085646490995</v>
      </c>
      <c r="L739" s="30">
        <v>3687.9411762391755</v>
      </c>
      <c r="M739" s="30">
        <v>3815.8918182727771</v>
      </c>
      <c r="N739" s="30">
        <v>-2203.7738843146872</v>
      </c>
      <c r="O739" s="30">
        <v>2086.7747320939206</v>
      </c>
      <c r="P739" s="30">
        <v>-109.62062243297532</v>
      </c>
      <c r="R739">
        <v>731</v>
      </c>
      <c r="S739" s="30">
        <v>276.55405100711909</v>
      </c>
      <c r="T739" s="30">
        <v>336.32918374063382</v>
      </c>
      <c r="U739" s="30">
        <v>173.8472132178257</v>
      </c>
      <c r="V739" s="30">
        <v>0</v>
      </c>
      <c r="W739" s="30">
        <v>0</v>
      </c>
      <c r="X739" s="30">
        <v>0</v>
      </c>
    </row>
    <row r="740" spans="10:24" x14ac:dyDescent="0.25">
      <c r="J740">
        <v>732</v>
      </c>
      <c r="K740" s="30">
        <v>2728.3772087434795</v>
      </c>
      <c r="L740" s="30">
        <v>2281.9008935788197</v>
      </c>
      <c r="M740" s="30">
        <v>2341.3342393582398</v>
      </c>
      <c r="N740" s="30">
        <v>-174.22052945598443</v>
      </c>
      <c r="O740" s="30">
        <v>-341.11690633501166</v>
      </c>
      <c r="P740" s="30">
        <v>102.80853823396774</v>
      </c>
      <c r="R740">
        <v>732</v>
      </c>
      <c r="S740" s="30">
        <v>228.42275248046838</v>
      </c>
      <c r="T740" s="30">
        <v>220.97129093467737</v>
      </c>
      <c r="U740" s="30">
        <v>148.13782424004233</v>
      </c>
      <c r="V740" s="30">
        <v>0</v>
      </c>
      <c r="W740" s="30">
        <v>11.717930763081199</v>
      </c>
      <c r="X740" s="30">
        <v>0</v>
      </c>
    </row>
    <row r="741" spans="10:24" x14ac:dyDescent="0.25">
      <c r="J741">
        <v>733</v>
      </c>
      <c r="K741" s="30">
        <v>4216.458439255608</v>
      </c>
      <c r="L741" s="30">
        <v>2815.116529917244</v>
      </c>
      <c r="M741" s="30">
        <v>2695.624234902185</v>
      </c>
      <c r="N741" s="30">
        <v>-361.28254571081106</v>
      </c>
      <c r="O741" s="30">
        <v>3236.590136153015</v>
      </c>
      <c r="P741" s="30">
        <v>-1642.8437115496254</v>
      </c>
      <c r="R741">
        <v>733</v>
      </c>
      <c r="S741" s="30">
        <v>317.01863701589144</v>
      </c>
      <c r="T741" s="30">
        <v>304.66753937043586</v>
      </c>
      <c r="U741" s="30">
        <v>193.12528199707066</v>
      </c>
      <c r="V741" s="30">
        <v>0</v>
      </c>
      <c r="W741" s="30">
        <v>0</v>
      </c>
      <c r="X741" s="30">
        <v>0</v>
      </c>
    </row>
    <row r="742" spans="10:24" x14ac:dyDescent="0.25">
      <c r="J742">
        <v>734</v>
      </c>
      <c r="K742" s="30">
        <v>3924.7540841520022</v>
      </c>
      <c r="L742" s="30">
        <v>3745.4706992601109</v>
      </c>
      <c r="M742" s="30">
        <v>3509.8772950289358</v>
      </c>
      <c r="N742" s="30">
        <v>-240.7995756494538</v>
      </c>
      <c r="O742" s="30">
        <v>1661.383698861935</v>
      </c>
      <c r="P742" s="30">
        <v>-1741.4269710620474</v>
      </c>
      <c r="R742">
        <v>734</v>
      </c>
      <c r="S742" s="30">
        <v>237.0905233926905</v>
      </c>
      <c r="T742" s="30">
        <v>348.67555319816029</v>
      </c>
      <c r="U742" s="30">
        <v>200.3832405346954</v>
      </c>
      <c r="V742" s="30">
        <v>0</v>
      </c>
      <c r="W742" s="30">
        <v>0</v>
      </c>
      <c r="X742" s="30">
        <v>0</v>
      </c>
    </row>
    <row r="743" spans="10:24" x14ac:dyDescent="0.25">
      <c r="J743">
        <v>735</v>
      </c>
      <c r="K743" s="30">
        <v>3911.0888442144505</v>
      </c>
      <c r="L743" s="30">
        <v>2435.3456250808035</v>
      </c>
      <c r="M743" s="30">
        <v>3750.6873553262062</v>
      </c>
      <c r="N743" s="30">
        <v>241.97414192962606</v>
      </c>
      <c r="O743" s="30">
        <v>3285.3384138386809</v>
      </c>
      <c r="P743" s="30">
        <v>-1784.8986478494808</v>
      </c>
      <c r="R743">
        <v>735</v>
      </c>
      <c r="S743" s="30">
        <v>145.73772579799299</v>
      </c>
      <c r="T743" s="30">
        <v>270.93553891711804</v>
      </c>
      <c r="U743" s="30">
        <v>153.33150838123862</v>
      </c>
      <c r="V743" s="30">
        <v>45.609008000291965</v>
      </c>
      <c r="W743" s="30">
        <v>44.983715707389933</v>
      </c>
      <c r="X743" s="30">
        <v>0</v>
      </c>
    </row>
    <row r="744" spans="10:24" x14ac:dyDescent="0.25">
      <c r="J744">
        <v>736</v>
      </c>
      <c r="K744" s="30">
        <v>3768.0640877953028</v>
      </c>
      <c r="L744" s="30">
        <v>3281.3347938412926</v>
      </c>
      <c r="M744" s="30">
        <v>1714.9886904681571</v>
      </c>
      <c r="N744" s="30">
        <v>692.84838568279883</v>
      </c>
      <c r="O744" s="30">
        <v>220.9061182421483</v>
      </c>
      <c r="P744" s="30">
        <v>-1680.9657075956966</v>
      </c>
      <c r="R744">
        <v>736</v>
      </c>
      <c r="S744" s="30">
        <v>240.19644104550571</v>
      </c>
      <c r="T744" s="30">
        <v>266.23050416659675</v>
      </c>
      <c r="U744" s="30">
        <v>99.052570481510315</v>
      </c>
      <c r="V744" s="30">
        <v>0</v>
      </c>
      <c r="W744" s="30">
        <v>0</v>
      </c>
      <c r="X744" s="30">
        <v>0</v>
      </c>
    </row>
    <row r="745" spans="10:24" x14ac:dyDescent="0.25">
      <c r="J745">
        <v>737</v>
      </c>
      <c r="K745" s="30">
        <v>2932.3393627394285</v>
      </c>
      <c r="L745" s="30">
        <v>3019.3997862001438</v>
      </c>
      <c r="M745" s="30">
        <v>2267.430885584833</v>
      </c>
      <c r="N745" s="30">
        <v>935.98410816688283</v>
      </c>
      <c r="O745" s="30">
        <v>3771.8692765136475</v>
      </c>
      <c r="P745" s="30">
        <v>1425.7356667143767</v>
      </c>
      <c r="R745">
        <v>737</v>
      </c>
      <c r="S745" s="30">
        <v>223.23800412862704</v>
      </c>
      <c r="T745" s="30">
        <v>293.35235422920886</v>
      </c>
      <c r="U745" s="30">
        <v>109.49953256940586</v>
      </c>
      <c r="V745" s="30">
        <v>60.470408625885284</v>
      </c>
      <c r="W745" s="30">
        <v>18.814797485307849</v>
      </c>
      <c r="X745" s="30">
        <v>0</v>
      </c>
    </row>
    <row r="746" spans="10:24" x14ac:dyDescent="0.25">
      <c r="J746">
        <v>738</v>
      </c>
      <c r="K746" s="30">
        <v>3885.5427152674511</v>
      </c>
      <c r="L746" s="30">
        <v>2719.4708530465477</v>
      </c>
      <c r="M746" s="30">
        <v>2561.9192798730555</v>
      </c>
      <c r="N746" s="30">
        <v>2509.5158933252396</v>
      </c>
      <c r="O746" s="30">
        <v>1721.9541302274247</v>
      </c>
      <c r="P746" s="30">
        <v>783.00965183235348</v>
      </c>
      <c r="R746">
        <v>738</v>
      </c>
      <c r="S746" s="30">
        <v>264.34870468627366</v>
      </c>
      <c r="T746" s="30">
        <v>347.41246835722461</v>
      </c>
      <c r="U746" s="30">
        <v>82.045563478260476</v>
      </c>
      <c r="V746" s="30">
        <v>0</v>
      </c>
      <c r="W746" s="30">
        <v>0</v>
      </c>
      <c r="X746" s="30">
        <v>0</v>
      </c>
    </row>
    <row r="747" spans="10:24" x14ac:dyDescent="0.25">
      <c r="J747">
        <v>739</v>
      </c>
      <c r="K747" s="30">
        <v>2823.6460096628707</v>
      </c>
      <c r="L747" s="30">
        <v>2375.9539494815826</v>
      </c>
      <c r="M747" s="30">
        <v>3595.3099703186153</v>
      </c>
      <c r="N747" s="30">
        <v>11.970859281055709</v>
      </c>
      <c r="O747" s="30">
        <v>3427.6763044445697</v>
      </c>
      <c r="P747" s="30">
        <v>642.02993076192251</v>
      </c>
      <c r="R747">
        <v>739</v>
      </c>
      <c r="S747" s="30">
        <v>150.92507507900046</v>
      </c>
      <c r="T747" s="30">
        <v>202.75948960422687</v>
      </c>
      <c r="U747" s="30">
        <v>118.84659079396607</v>
      </c>
      <c r="V747" s="30">
        <v>0</v>
      </c>
      <c r="W747" s="30">
        <v>12.753471420627989</v>
      </c>
      <c r="X747" s="30">
        <v>0</v>
      </c>
    </row>
    <row r="748" spans="10:24" x14ac:dyDescent="0.25">
      <c r="J748">
        <v>740</v>
      </c>
      <c r="K748" s="30">
        <v>3732.515601900117</v>
      </c>
      <c r="L748" s="30">
        <v>4076.109451443011</v>
      </c>
      <c r="M748" s="30">
        <v>2442.3239491106806</v>
      </c>
      <c r="N748" s="30">
        <v>-1685.0856863705303</v>
      </c>
      <c r="O748" s="30">
        <v>819.95398754942835</v>
      </c>
      <c r="P748" s="30">
        <v>-362.69884957826253</v>
      </c>
      <c r="R748">
        <v>740</v>
      </c>
      <c r="S748" s="30">
        <v>290.70043630391774</v>
      </c>
      <c r="T748" s="30">
        <v>213.37175817122215</v>
      </c>
      <c r="U748" s="30">
        <v>153.58327043865546</v>
      </c>
      <c r="V748" s="30">
        <v>115.83839282042521</v>
      </c>
      <c r="W748" s="30">
        <v>0</v>
      </c>
      <c r="X748" s="30">
        <v>0</v>
      </c>
    </row>
    <row r="749" spans="10:24" x14ac:dyDescent="0.25">
      <c r="J749">
        <v>741</v>
      </c>
      <c r="K749" s="30">
        <v>3778.0992950289683</v>
      </c>
      <c r="L749" s="30">
        <v>4076.306180221356</v>
      </c>
      <c r="M749" s="30">
        <v>2192.5233280063703</v>
      </c>
      <c r="N749" s="30">
        <v>872.78789036993112</v>
      </c>
      <c r="O749" s="30">
        <v>-181.57985807120895</v>
      </c>
      <c r="P749" s="30">
        <v>153.65076622996912</v>
      </c>
      <c r="R749">
        <v>741</v>
      </c>
      <c r="S749" s="30">
        <v>174.07487567489193</v>
      </c>
      <c r="T749" s="30">
        <v>269.1344172818113</v>
      </c>
      <c r="U749" s="30">
        <v>147.83553550061623</v>
      </c>
      <c r="V749" s="30">
        <v>0</v>
      </c>
      <c r="W749" s="30">
        <v>142.77633096795671</v>
      </c>
      <c r="X749" s="30">
        <v>0</v>
      </c>
    </row>
    <row r="750" spans="10:24" x14ac:dyDescent="0.25">
      <c r="J750">
        <v>742</v>
      </c>
      <c r="K750" s="30">
        <v>2676.8499911856466</v>
      </c>
      <c r="L750" s="30">
        <v>4580.0636837519969</v>
      </c>
      <c r="M750" s="30">
        <v>1977.0397558573977</v>
      </c>
      <c r="N750" s="30">
        <v>-1078.4854026457524</v>
      </c>
      <c r="O750" s="30">
        <v>3008.9035717224924</v>
      </c>
      <c r="P750" s="30">
        <v>106.39775762454337</v>
      </c>
      <c r="R750">
        <v>742</v>
      </c>
      <c r="S750" s="30">
        <v>284.90728320330402</v>
      </c>
      <c r="T750" s="30">
        <v>209.77055791691902</v>
      </c>
      <c r="U750" s="30">
        <v>315.20486140705975</v>
      </c>
      <c r="V750" s="30">
        <v>0</v>
      </c>
      <c r="W750" s="30">
        <v>0</v>
      </c>
      <c r="X750" s="30">
        <v>0</v>
      </c>
    </row>
    <row r="751" spans="10:24" x14ac:dyDescent="0.25">
      <c r="J751">
        <v>743</v>
      </c>
      <c r="K751" s="30">
        <v>2483.8163946608092</v>
      </c>
      <c r="L751" s="30">
        <v>2626.400716575537</v>
      </c>
      <c r="M751" s="30">
        <v>2458.5238083040176</v>
      </c>
      <c r="N751" s="30">
        <v>-286.36343954923177</v>
      </c>
      <c r="O751" s="30">
        <v>2111.8159793944924</v>
      </c>
      <c r="P751" s="30">
        <v>-2368.7810959106546</v>
      </c>
      <c r="R751">
        <v>743</v>
      </c>
      <c r="S751" s="30">
        <v>239.97302891443871</v>
      </c>
      <c r="T751" s="30">
        <v>288.27380841326675</v>
      </c>
      <c r="U751" s="30">
        <v>144.19532642138898</v>
      </c>
      <c r="V751" s="30">
        <v>0</v>
      </c>
      <c r="W751" s="30">
        <v>0</v>
      </c>
      <c r="X751" s="30">
        <v>0</v>
      </c>
    </row>
    <row r="752" spans="10:24" x14ac:dyDescent="0.25">
      <c r="J752">
        <v>744</v>
      </c>
      <c r="K752" s="30">
        <v>2554.8254682759834</v>
      </c>
      <c r="L752" s="30">
        <v>4341.2068044102361</v>
      </c>
      <c r="M752" s="30">
        <v>2004.1798038629122</v>
      </c>
      <c r="N752" s="30">
        <v>445.7598059310194</v>
      </c>
      <c r="O752" s="30">
        <v>915.19811051060515</v>
      </c>
      <c r="P752" s="30">
        <v>1264.2836078643577</v>
      </c>
      <c r="R752">
        <v>744</v>
      </c>
      <c r="S752" s="30">
        <v>353.29568852218318</v>
      </c>
      <c r="T752" s="30">
        <v>234.17915845614715</v>
      </c>
      <c r="U752" s="30">
        <v>292.07093635842057</v>
      </c>
      <c r="V752" s="30">
        <v>0</v>
      </c>
      <c r="W752" s="30">
        <v>0</v>
      </c>
      <c r="X752" s="30">
        <v>0</v>
      </c>
    </row>
    <row r="753" spans="10:24" x14ac:dyDescent="0.25">
      <c r="J753">
        <v>745</v>
      </c>
      <c r="K753" s="30">
        <v>1835.2131444124184</v>
      </c>
      <c r="L753" s="30">
        <v>2988.1105791660957</v>
      </c>
      <c r="M753" s="30">
        <v>3566.0406358984324</v>
      </c>
      <c r="N753" s="30">
        <v>246.23532609266204</v>
      </c>
      <c r="O753" s="30">
        <v>-347.23201877011525</v>
      </c>
      <c r="P753" s="30">
        <v>-299.4674756988361</v>
      </c>
      <c r="R753">
        <v>745</v>
      </c>
      <c r="S753" s="30">
        <v>268.67594390680642</v>
      </c>
      <c r="T753" s="30">
        <v>378.68295526611729</v>
      </c>
      <c r="U753" s="30">
        <v>93.683919317691959</v>
      </c>
      <c r="V753" s="30">
        <v>0</v>
      </c>
      <c r="W753" s="30">
        <v>0</v>
      </c>
      <c r="X753" s="30">
        <v>0</v>
      </c>
    </row>
    <row r="754" spans="10:24" x14ac:dyDescent="0.25">
      <c r="J754">
        <v>746</v>
      </c>
      <c r="K754" s="30">
        <v>2540.8045865192971</v>
      </c>
      <c r="L754" s="30">
        <v>3983.6609662967494</v>
      </c>
      <c r="M754" s="30">
        <v>2883.9203864950327</v>
      </c>
      <c r="N754" s="30">
        <v>780.58541247297217</v>
      </c>
      <c r="O754" s="30">
        <v>1650.2654264157691</v>
      </c>
      <c r="P754" s="30">
        <v>-546.66235542802042</v>
      </c>
      <c r="R754">
        <v>746</v>
      </c>
      <c r="S754" s="30">
        <v>138.32643585472209</v>
      </c>
      <c r="T754" s="30">
        <v>272.99792267218459</v>
      </c>
      <c r="U754" s="30">
        <v>173.84911161686392</v>
      </c>
      <c r="V754" s="30">
        <v>0</v>
      </c>
      <c r="W754" s="30">
        <v>0</v>
      </c>
      <c r="X754" s="30">
        <v>0</v>
      </c>
    </row>
    <row r="755" spans="10:24" x14ac:dyDescent="0.25">
      <c r="J755">
        <v>747</v>
      </c>
      <c r="K755" s="30">
        <v>2902.8434582269092</v>
      </c>
      <c r="L755" s="30">
        <v>3399.2153518494652</v>
      </c>
      <c r="M755" s="30">
        <v>2076.7200576297382</v>
      </c>
      <c r="N755" s="30">
        <v>-122.70998110868823</v>
      </c>
      <c r="O755" s="30">
        <v>1568.7274107883777</v>
      </c>
      <c r="P755" s="30">
        <v>-3433.1576203683098</v>
      </c>
      <c r="R755">
        <v>747</v>
      </c>
      <c r="S755" s="30">
        <v>246.65634815598531</v>
      </c>
      <c r="T755" s="30">
        <v>332.87834229143732</v>
      </c>
      <c r="U755" s="30">
        <v>126.31628186170167</v>
      </c>
      <c r="V755" s="30">
        <v>0</v>
      </c>
      <c r="W755" s="30">
        <v>110.73145466133622</v>
      </c>
      <c r="X755" s="30">
        <v>0</v>
      </c>
    </row>
    <row r="756" spans="10:24" x14ac:dyDescent="0.25">
      <c r="J756">
        <v>748</v>
      </c>
      <c r="K756" s="30">
        <v>3547.1251336919804</v>
      </c>
      <c r="L756" s="30">
        <v>2814.6536422379509</v>
      </c>
      <c r="M756" s="30">
        <v>2306.5398761672382</v>
      </c>
      <c r="N756" s="30">
        <v>934.95102685245638</v>
      </c>
      <c r="O756" s="30">
        <v>1791.5416644490551</v>
      </c>
      <c r="P756" s="30">
        <v>-623.79606829966269</v>
      </c>
      <c r="R756">
        <v>748</v>
      </c>
      <c r="S756" s="30">
        <v>297.71259740761792</v>
      </c>
      <c r="T756" s="30">
        <v>343.34176730864209</v>
      </c>
      <c r="U756" s="30">
        <v>117.16501494918253</v>
      </c>
      <c r="V756" s="30">
        <v>0</v>
      </c>
      <c r="W756" s="30">
        <v>0</v>
      </c>
      <c r="X756" s="30">
        <v>0</v>
      </c>
    </row>
    <row r="757" spans="10:24" x14ac:dyDescent="0.25">
      <c r="J757">
        <v>749</v>
      </c>
      <c r="K757" s="30">
        <v>2833.9997592994418</v>
      </c>
      <c r="L757" s="30">
        <v>4444.9991786972378</v>
      </c>
      <c r="M757" s="30">
        <v>2769.425844472421</v>
      </c>
      <c r="N757" s="30">
        <v>737.52928734839861</v>
      </c>
      <c r="O757" s="30">
        <v>1142.5095067667371</v>
      </c>
      <c r="P757" s="30">
        <v>-1222.4954988748086</v>
      </c>
      <c r="R757">
        <v>749</v>
      </c>
      <c r="S757" s="30">
        <v>359.7430157481171</v>
      </c>
      <c r="T757" s="30">
        <v>267.28928129377209</v>
      </c>
      <c r="U757" s="30">
        <v>236.77084192082134</v>
      </c>
      <c r="V757" s="30">
        <v>0</v>
      </c>
      <c r="W757" s="30">
        <v>67.402716435458842</v>
      </c>
      <c r="X757" s="30">
        <v>0</v>
      </c>
    </row>
    <row r="758" spans="10:24" x14ac:dyDescent="0.25">
      <c r="J758">
        <v>750</v>
      </c>
      <c r="K758" s="30">
        <v>3167.7330413542068</v>
      </c>
      <c r="L758" s="30">
        <v>2722.7060753590758</v>
      </c>
      <c r="M758" s="30">
        <v>1720.7233411403172</v>
      </c>
      <c r="N758" s="30">
        <v>1120.6588652942855</v>
      </c>
      <c r="O758" s="30">
        <v>1972.9154359627209</v>
      </c>
      <c r="P758" s="30">
        <v>931.29836086830073</v>
      </c>
      <c r="R758">
        <v>750</v>
      </c>
      <c r="S758" s="30">
        <v>296.32426491737067</v>
      </c>
      <c r="T758" s="30">
        <v>335.17579283811432</v>
      </c>
      <c r="U758" s="30">
        <v>126.23168279622405</v>
      </c>
      <c r="V758" s="30">
        <v>0</v>
      </c>
      <c r="W758" s="30">
        <v>0</v>
      </c>
      <c r="X758" s="30">
        <v>0</v>
      </c>
    </row>
    <row r="759" spans="10:24" x14ac:dyDescent="0.25">
      <c r="J759">
        <v>751</v>
      </c>
      <c r="K759" s="30">
        <v>2449.3874147723172</v>
      </c>
      <c r="L759" s="30">
        <v>3575.2904267903359</v>
      </c>
      <c r="M759" s="30">
        <v>1869.2058202620428</v>
      </c>
      <c r="N759" s="30">
        <v>2178.7234311637594</v>
      </c>
      <c r="O759" s="30">
        <v>989.65179290958713</v>
      </c>
      <c r="P759" s="30">
        <v>-1900.3884867045826</v>
      </c>
      <c r="R759">
        <v>751</v>
      </c>
      <c r="S759" s="30">
        <v>310.10583848348404</v>
      </c>
      <c r="T759" s="30">
        <v>235.63834486014503</v>
      </c>
      <c r="U759" s="30">
        <v>88.947252425296142</v>
      </c>
      <c r="V759" s="30">
        <v>0</v>
      </c>
      <c r="W759" s="30">
        <v>0</v>
      </c>
      <c r="X759" s="30">
        <v>0</v>
      </c>
    </row>
    <row r="760" spans="10:24" x14ac:dyDescent="0.25">
      <c r="J760">
        <v>752</v>
      </c>
      <c r="K760" s="30">
        <v>1777.2040561825656</v>
      </c>
      <c r="L760" s="30">
        <v>1986.6340306069624</v>
      </c>
      <c r="M760" s="30">
        <v>2955.4838197553208</v>
      </c>
      <c r="N760" s="30">
        <v>498.02341941593659</v>
      </c>
      <c r="O760" s="30">
        <v>524.75503829309673</v>
      </c>
      <c r="P760" s="30">
        <v>-1445.8061242072927</v>
      </c>
      <c r="R760">
        <v>752</v>
      </c>
      <c r="S760" s="30">
        <v>196.40937137585757</v>
      </c>
      <c r="T760" s="30">
        <v>230.27723955093597</v>
      </c>
      <c r="U760" s="30">
        <v>68.919040096857429</v>
      </c>
      <c r="V760" s="30">
        <v>0</v>
      </c>
      <c r="W760" s="30">
        <v>0</v>
      </c>
      <c r="X760" s="30">
        <v>0</v>
      </c>
    </row>
    <row r="761" spans="10:24" x14ac:dyDescent="0.25">
      <c r="J761">
        <v>753</v>
      </c>
      <c r="K761" s="30">
        <v>1728.695886649698</v>
      </c>
      <c r="L761" s="30">
        <v>3145.0255324073205</v>
      </c>
      <c r="M761" s="30">
        <v>2137.7478545402182</v>
      </c>
      <c r="N761" s="30">
        <v>-653.2931834795645</v>
      </c>
      <c r="O761" s="30">
        <v>2420.1648791056432</v>
      </c>
      <c r="P761" s="30">
        <v>-1298.6958012342211</v>
      </c>
      <c r="R761">
        <v>753</v>
      </c>
      <c r="S761" s="30">
        <v>272.87792281401488</v>
      </c>
      <c r="T761" s="30">
        <v>187.48587586040111</v>
      </c>
      <c r="U761" s="30">
        <v>69.898135677192897</v>
      </c>
      <c r="V761" s="30">
        <v>17.950593020565975</v>
      </c>
      <c r="W761" s="30">
        <v>141.46626098588604</v>
      </c>
      <c r="X761" s="30">
        <v>0</v>
      </c>
    </row>
    <row r="762" spans="10:24" x14ac:dyDescent="0.25">
      <c r="J762">
        <v>754</v>
      </c>
      <c r="K762" s="30">
        <v>4127.6683139098359</v>
      </c>
      <c r="L762" s="30">
        <v>1870.7564402984085</v>
      </c>
      <c r="M762" s="30">
        <v>3759.8714036614742</v>
      </c>
      <c r="N762" s="30">
        <v>-393.18998936916978</v>
      </c>
      <c r="O762" s="30">
        <v>1519.513109440556</v>
      </c>
      <c r="P762" s="30">
        <v>-1474.6745671978288</v>
      </c>
      <c r="R762">
        <v>754</v>
      </c>
      <c r="S762" s="30">
        <v>210.23742338996624</v>
      </c>
      <c r="T762" s="30">
        <v>207.75798829613257</v>
      </c>
      <c r="U762" s="30">
        <v>201.56736701023775</v>
      </c>
      <c r="V762" s="30">
        <v>0</v>
      </c>
      <c r="W762" s="30">
        <v>0</v>
      </c>
      <c r="X762" s="30">
        <v>0</v>
      </c>
    </row>
    <row r="763" spans="10:24" x14ac:dyDescent="0.25">
      <c r="J763">
        <v>755</v>
      </c>
      <c r="K763" s="30">
        <v>2551.7704536127198</v>
      </c>
      <c r="L763" s="30">
        <v>3087.9434942164908</v>
      </c>
      <c r="M763" s="30">
        <v>2950.1902875220158</v>
      </c>
      <c r="N763" s="30">
        <v>300.36292272914852</v>
      </c>
      <c r="O763" s="30">
        <v>1137.1920502437488</v>
      </c>
      <c r="P763" s="30">
        <v>464.92565619874586</v>
      </c>
      <c r="R763">
        <v>755</v>
      </c>
      <c r="S763" s="30">
        <v>361.73564057506684</v>
      </c>
      <c r="T763" s="30">
        <v>304.56435229973357</v>
      </c>
      <c r="U763" s="30">
        <v>129.53746268752161</v>
      </c>
      <c r="V763" s="30">
        <v>0</v>
      </c>
      <c r="W763" s="30">
        <v>0</v>
      </c>
      <c r="X763" s="30">
        <v>0</v>
      </c>
    </row>
    <row r="764" spans="10:24" x14ac:dyDescent="0.25">
      <c r="J764">
        <v>756</v>
      </c>
      <c r="K764" s="30">
        <v>2963.1553108492644</v>
      </c>
      <c r="L764" s="30">
        <v>3461.0224750571942</v>
      </c>
      <c r="M764" s="30">
        <v>4041.3489505804496</v>
      </c>
      <c r="N764" s="30">
        <v>1780.8586695735157</v>
      </c>
      <c r="O764" s="30">
        <v>1805.6411653700507</v>
      </c>
      <c r="P764" s="30">
        <v>-1641.4886725796214</v>
      </c>
      <c r="R764">
        <v>756</v>
      </c>
      <c r="S764" s="30">
        <v>267.33462781402028</v>
      </c>
      <c r="T764" s="30">
        <v>145.66793840198585</v>
      </c>
      <c r="U764" s="30">
        <v>177.40462837774868</v>
      </c>
      <c r="V764" s="30">
        <v>0</v>
      </c>
      <c r="W764" s="30">
        <v>0.286063048358983</v>
      </c>
      <c r="X764" s="30">
        <v>0</v>
      </c>
    </row>
    <row r="765" spans="10:24" x14ac:dyDescent="0.25">
      <c r="J765">
        <v>757</v>
      </c>
      <c r="K765" s="30">
        <v>2208.7712728242673</v>
      </c>
      <c r="L765" s="30">
        <v>4033.3253630714335</v>
      </c>
      <c r="M765" s="30">
        <v>3683.5759040197095</v>
      </c>
      <c r="N765" s="30">
        <v>-352.7098521772532</v>
      </c>
      <c r="O765" s="30">
        <v>3101.2478590617184</v>
      </c>
      <c r="P765" s="30">
        <v>-669.63662113934151</v>
      </c>
      <c r="R765">
        <v>757</v>
      </c>
      <c r="S765" s="30">
        <v>268.65719406662186</v>
      </c>
      <c r="T765" s="30">
        <v>457.85531639547139</v>
      </c>
      <c r="U765" s="30">
        <v>259.74650697859823</v>
      </c>
      <c r="V765" s="30">
        <v>63.428581595675496</v>
      </c>
      <c r="W765" s="30">
        <v>0</v>
      </c>
      <c r="X765" s="30">
        <v>0</v>
      </c>
    </row>
    <row r="766" spans="10:24" x14ac:dyDescent="0.25">
      <c r="J766">
        <v>758</v>
      </c>
      <c r="K766" s="30">
        <v>2125.3220241058993</v>
      </c>
      <c r="L766" s="30">
        <v>4013.6191944789134</v>
      </c>
      <c r="M766" s="30">
        <v>3989.4250365691323</v>
      </c>
      <c r="N766" s="30">
        <v>1255.0441376785575</v>
      </c>
      <c r="O766" s="30">
        <v>425.66082987997106</v>
      </c>
      <c r="P766" s="30">
        <v>-1481.036307917474</v>
      </c>
      <c r="R766">
        <v>758</v>
      </c>
      <c r="S766" s="30">
        <v>182.13777731655074</v>
      </c>
      <c r="T766" s="30">
        <v>313.65329349640405</v>
      </c>
      <c r="U766" s="30">
        <v>196.68848997986532</v>
      </c>
      <c r="V766" s="30">
        <v>50.895569404556795</v>
      </c>
      <c r="W766" s="30">
        <v>0</v>
      </c>
      <c r="X766" s="30">
        <v>0</v>
      </c>
    </row>
    <row r="767" spans="10:24" x14ac:dyDescent="0.25">
      <c r="J767">
        <v>759</v>
      </c>
      <c r="K767" s="30">
        <v>2862.8143142300314</v>
      </c>
      <c r="L767" s="30">
        <v>3764.8454321419422</v>
      </c>
      <c r="M767" s="30">
        <v>1601.2761598055226</v>
      </c>
      <c r="N767" s="30">
        <v>2125.4652610284984</v>
      </c>
      <c r="O767" s="30">
        <v>1146.1925565689162</v>
      </c>
      <c r="P767" s="30">
        <v>-1218.7456647661984</v>
      </c>
      <c r="R767">
        <v>759</v>
      </c>
      <c r="S767" s="30">
        <v>309.47767878420291</v>
      </c>
      <c r="T767" s="30">
        <v>462.33087854257997</v>
      </c>
      <c r="U767" s="30">
        <v>166.95785296762534</v>
      </c>
      <c r="V767" s="30">
        <v>0</v>
      </c>
      <c r="W767" s="30">
        <v>0</v>
      </c>
      <c r="X767" s="30">
        <v>0</v>
      </c>
    </row>
    <row r="768" spans="10:24" x14ac:dyDescent="0.25">
      <c r="J768">
        <v>760</v>
      </c>
      <c r="K768" s="30">
        <v>3969.9695948389058</v>
      </c>
      <c r="L768" s="30">
        <v>3576.4269838854889</v>
      </c>
      <c r="M768" s="30">
        <v>2855.2737918857006</v>
      </c>
      <c r="N768" s="30">
        <v>935.46820047305846</v>
      </c>
      <c r="O768" s="30">
        <v>-1076.5927907084533</v>
      </c>
      <c r="P768" s="30">
        <v>-3411.4076673187756</v>
      </c>
      <c r="R768">
        <v>760</v>
      </c>
      <c r="S768" s="30">
        <v>304.69539397650306</v>
      </c>
      <c r="T768" s="30">
        <v>281.14395909222742</v>
      </c>
      <c r="U768" s="30">
        <v>237.91650072070655</v>
      </c>
      <c r="V768" s="30">
        <v>48.262203717776117</v>
      </c>
      <c r="W768" s="30">
        <v>0</v>
      </c>
      <c r="X768" s="30">
        <v>0</v>
      </c>
    </row>
    <row r="769" spans="10:24" x14ac:dyDescent="0.25">
      <c r="J769">
        <v>761</v>
      </c>
      <c r="K769" s="30">
        <v>2781.413905388466</v>
      </c>
      <c r="L769" s="30">
        <v>2384.756076084394</v>
      </c>
      <c r="M769" s="30">
        <v>2677.3600271803075</v>
      </c>
      <c r="N769" s="30">
        <v>-575.12843448124568</v>
      </c>
      <c r="O769" s="30">
        <v>1652.720355688306</v>
      </c>
      <c r="P769" s="30">
        <v>-1331.1960897589624</v>
      </c>
      <c r="R769">
        <v>761</v>
      </c>
      <c r="S769" s="30">
        <v>285.70798007248908</v>
      </c>
      <c r="T769" s="30">
        <v>308.16251167552957</v>
      </c>
      <c r="U769" s="30">
        <v>76.137096728090398</v>
      </c>
      <c r="V769" s="30">
        <v>10.419767766307018</v>
      </c>
      <c r="W769" s="30">
        <v>0</v>
      </c>
      <c r="X769" s="30">
        <v>0</v>
      </c>
    </row>
    <row r="770" spans="10:24" x14ac:dyDescent="0.25">
      <c r="J770">
        <v>762</v>
      </c>
      <c r="K770" s="30">
        <v>3065.2153457835238</v>
      </c>
      <c r="L770" s="30">
        <v>4010.3833505894063</v>
      </c>
      <c r="M770" s="30">
        <v>3883.369586482765</v>
      </c>
      <c r="N770" s="30">
        <v>382.06242140327049</v>
      </c>
      <c r="O770" s="30">
        <v>2349.6008352531171</v>
      </c>
      <c r="P770" s="30">
        <v>-708.08052749752278</v>
      </c>
      <c r="R770">
        <v>762</v>
      </c>
      <c r="S770" s="30">
        <v>141.01628085476733</v>
      </c>
      <c r="T770" s="30">
        <v>323.34553832723935</v>
      </c>
      <c r="U770" s="30">
        <v>98.115052525809176</v>
      </c>
      <c r="V770" s="30">
        <v>0</v>
      </c>
      <c r="W770" s="30">
        <v>35.286004005042969</v>
      </c>
      <c r="X770" s="30">
        <v>0</v>
      </c>
    </row>
    <row r="771" spans="10:24" x14ac:dyDescent="0.25">
      <c r="J771">
        <v>763</v>
      </c>
      <c r="K771" s="30">
        <v>2596.0732159005365</v>
      </c>
      <c r="L771" s="30">
        <v>2110.1006773676668</v>
      </c>
      <c r="M771" s="30">
        <v>1971.5192518495487</v>
      </c>
      <c r="N771" s="30">
        <v>1301.3037312972265</v>
      </c>
      <c r="O771" s="30">
        <v>2017.8972580495602</v>
      </c>
      <c r="P771" s="30">
        <v>-360.28196926866804</v>
      </c>
      <c r="R771">
        <v>763</v>
      </c>
      <c r="S771" s="30">
        <v>284.3505541640676</v>
      </c>
      <c r="T771" s="30">
        <v>267.92842764295511</v>
      </c>
      <c r="U771" s="30">
        <v>144.69838845837438</v>
      </c>
      <c r="V771" s="30">
        <v>0</v>
      </c>
      <c r="W771" s="30">
        <v>148.03462688373588</v>
      </c>
      <c r="X771" s="30">
        <v>0</v>
      </c>
    </row>
    <row r="772" spans="10:24" x14ac:dyDescent="0.25">
      <c r="J772">
        <v>764</v>
      </c>
      <c r="K772" s="30">
        <v>2780.0914815568135</v>
      </c>
      <c r="L772" s="30">
        <v>4251.9668015618681</v>
      </c>
      <c r="M772" s="30">
        <v>2599.0080024038953</v>
      </c>
      <c r="N772" s="30">
        <v>1963.7782403797046</v>
      </c>
      <c r="O772" s="30">
        <v>1328.9875493047803</v>
      </c>
      <c r="P772" s="30">
        <v>433.25771329335294</v>
      </c>
      <c r="R772">
        <v>764</v>
      </c>
      <c r="S772" s="30">
        <v>220.52324091885214</v>
      </c>
      <c r="T772" s="30">
        <v>172.34862841338486</v>
      </c>
      <c r="U772" s="30">
        <v>224.74776160877082</v>
      </c>
      <c r="V772" s="30">
        <v>0</v>
      </c>
      <c r="W772" s="30">
        <v>0</v>
      </c>
      <c r="X772" s="30">
        <v>0</v>
      </c>
    </row>
    <row r="773" spans="10:24" x14ac:dyDescent="0.25">
      <c r="J773">
        <v>765</v>
      </c>
      <c r="K773" s="30">
        <v>2964.6928589876343</v>
      </c>
      <c r="L773" s="30">
        <v>3505.8021256622742</v>
      </c>
      <c r="M773" s="30">
        <v>3971.9840401780771</v>
      </c>
      <c r="N773" s="30">
        <v>3769.3516094743927</v>
      </c>
      <c r="O773" s="30">
        <v>3584.3012506507748</v>
      </c>
      <c r="P773" s="30">
        <v>-222.71817776757962</v>
      </c>
      <c r="R773">
        <v>765</v>
      </c>
      <c r="S773" s="30">
        <v>155.08241948136464</v>
      </c>
      <c r="T773" s="30">
        <v>371.23285939160195</v>
      </c>
      <c r="U773" s="30">
        <v>153.9475031502248</v>
      </c>
      <c r="V773" s="30">
        <v>3.336420831847704</v>
      </c>
      <c r="W773" s="30">
        <v>50.632767282862801</v>
      </c>
      <c r="X773" s="30">
        <v>0</v>
      </c>
    </row>
    <row r="774" spans="10:24" x14ac:dyDescent="0.25">
      <c r="J774">
        <v>766</v>
      </c>
      <c r="K774" s="30">
        <v>3167.1565717253775</v>
      </c>
      <c r="L774" s="30">
        <v>2495.0716700833286</v>
      </c>
      <c r="M774" s="30">
        <v>631.3835574191944</v>
      </c>
      <c r="N774" s="30">
        <v>1294.9008658924913</v>
      </c>
      <c r="O774" s="30">
        <v>491.35366068014173</v>
      </c>
      <c r="P774" s="30">
        <v>-1251.0044460623712</v>
      </c>
      <c r="R774">
        <v>766</v>
      </c>
      <c r="S774" s="30">
        <v>195.05539027164281</v>
      </c>
      <c r="T774" s="30">
        <v>208.56747472891732</v>
      </c>
      <c r="U774" s="30">
        <v>201.64733601977866</v>
      </c>
      <c r="V774" s="30">
        <v>0</v>
      </c>
      <c r="W774" s="30">
        <v>0</v>
      </c>
      <c r="X774" s="30">
        <v>0</v>
      </c>
    </row>
    <row r="775" spans="10:24" x14ac:dyDescent="0.25">
      <c r="J775">
        <v>767</v>
      </c>
      <c r="K775" s="30">
        <v>3802.0714557670362</v>
      </c>
      <c r="L775" s="30">
        <v>2765.5946821457842</v>
      </c>
      <c r="M775" s="30">
        <v>2151.4311174694462</v>
      </c>
      <c r="N775" s="30">
        <v>-769.3337490237418</v>
      </c>
      <c r="O775" s="30">
        <v>431.77728636807296</v>
      </c>
      <c r="P775" s="30">
        <v>-2282.1006102431829</v>
      </c>
      <c r="R775">
        <v>767</v>
      </c>
      <c r="S775" s="30">
        <v>173.7129241487055</v>
      </c>
      <c r="T775" s="30">
        <v>322.6405790242261</v>
      </c>
      <c r="U775" s="30">
        <v>165.87283421178836</v>
      </c>
      <c r="V775" s="30">
        <v>0</v>
      </c>
      <c r="W775" s="30">
        <v>0</v>
      </c>
      <c r="X775" s="30">
        <v>0</v>
      </c>
    </row>
    <row r="776" spans="10:24" x14ac:dyDescent="0.25">
      <c r="J776">
        <v>768</v>
      </c>
      <c r="K776" s="30">
        <v>2162.403528773777</v>
      </c>
      <c r="L776" s="30">
        <v>3441.1673763158019</v>
      </c>
      <c r="M776" s="30">
        <v>3018.6929850529605</v>
      </c>
      <c r="N776" s="30">
        <v>2818.0891798568555</v>
      </c>
      <c r="O776" s="30">
        <v>322.28877853165886</v>
      </c>
      <c r="P776" s="30">
        <v>-1976.8811960973035</v>
      </c>
      <c r="R776">
        <v>768</v>
      </c>
      <c r="S776" s="30">
        <v>232.13973010512666</v>
      </c>
      <c r="T776" s="30">
        <v>183.80315063321905</v>
      </c>
      <c r="U776" s="30">
        <v>161.21511062500531</v>
      </c>
      <c r="V776" s="30">
        <v>57.34897509676739</v>
      </c>
      <c r="W776" s="30">
        <v>0</v>
      </c>
      <c r="X776" s="30">
        <v>0</v>
      </c>
    </row>
    <row r="777" spans="10:24" x14ac:dyDescent="0.25">
      <c r="J777">
        <v>769</v>
      </c>
      <c r="K777" s="30">
        <v>2455.3814807234248</v>
      </c>
      <c r="L777" s="30">
        <v>2903.0021823597181</v>
      </c>
      <c r="M777" s="30">
        <v>1660.5252297632032</v>
      </c>
      <c r="N777" s="30">
        <v>49.70198204778535</v>
      </c>
      <c r="O777" s="30">
        <v>2877.9928143526349</v>
      </c>
      <c r="P777" s="30">
        <v>-295.943565732764</v>
      </c>
      <c r="R777">
        <v>769</v>
      </c>
      <c r="S777" s="30">
        <v>331.03176315136147</v>
      </c>
      <c r="T777" s="30">
        <v>341.09940482173477</v>
      </c>
      <c r="U777" s="30">
        <v>148.12889955421332</v>
      </c>
      <c r="V777" s="30">
        <v>0</v>
      </c>
      <c r="W777" s="30">
        <v>171.21939103885825</v>
      </c>
      <c r="X777" s="30">
        <v>0</v>
      </c>
    </row>
    <row r="778" spans="10:24" x14ac:dyDescent="0.25">
      <c r="J778">
        <v>770</v>
      </c>
      <c r="K778" s="30">
        <v>2734.5896839706461</v>
      </c>
      <c r="L778" s="30">
        <v>3253.8508036527137</v>
      </c>
      <c r="M778" s="30">
        <v>2230.1872966044375</v>
      </c>
      <c r="N778" s="30">
        <v>776.79726360570385</v>
      </c>
      <c r="O778" s="30">
        <v>2681.4321232466136</v>
      </c>
      <c r="P778" s="30">
        <v>-666.56451738086253</v>
      </c>
      <c r="R778">
        <v>770</v>
      </c>
      <c r="S778" s="30">
        <v>224.14241988206277</v>
      </c>
      <c r="T778" s="30">
        <v>288.58370116350119</v>
      </c>
      <c r="U778" s="30">
        <v>118.92775135027023</v>
      </c>
      <c r="V778" s="30">
        <v>0</v>
      </c>
      <c r="W778" s="30">
        <v>0</v>
      </c>
      <c r="X778" s="30">
        <v>0</v>
      </c>
    </row>
    <row r="779" spans="10:24" x14ac:dyDescent="0.25">
      <c r="J779">
        <v>771</v>
      </c>
      <c r="K779" s="30">
        <v>2456.3673259275438</v>
      </c>
      <c r="L779" s="30">
        <v>3974.7709301921936</v>
      </c>
      <c r="M779" s="30">
        <v>1733.8487894242121</v>
      </c>
      <c r="N779" s="30">
        <v>62.582395002653357</v>
      </c>
      <c r="O779" s="30">
        <v>1929.0792615579894</v>
      </c>
      <c r="P779" s="30">
        <v>508.8989622863337</v>
      </c>
      <c r="R779">
        <v>771</v>
      </c>
      <c r="S779" s="30">
        <v>182.12528574248415</v>
      </c>
      <c r="T779" s="30">
        <v>218.08323430108737</v>
      </c>
      <c r="U779" s="30">
        <v>125.34119089106451</v>
      </c>
      <c r="V779" s="30">
        <v>0</v>
      </c>
      <c r="W779" s="30">
        <v>0</v>
      </c>
      <c r="X779" s="30">
        <v>0</v>
      </c>
    </row>
    <row r="780" spans="10:24" x14ac:dyDescent="0.25">
      <c r="J780">
        <v>772</v>
      </c>
      <c r="K780" s="30">
        <v>2339.7841905916489</v>
      </c>
      <c r="L780" s="30">
        <v>2559.9377355593274</v>
      </c>
      <c r="M780" s="30">
        <v>1820.5942494023307</v>
      </c>
      <c r="N780" s="30">
        <v>531.8089364977377</v>
      </c>
      <c r="O780" s="30">
        <v>1275.8967540998774</v>
      </c>
      <c r="P780" s="30">
        <v>-963.57822703476268</v>
      </c>
      <c r="R780">
        <v>772</v>
      </c>
      <c r="S780" s="30">
        <v>312.08094681201692</v>
      </c>
      <c r="T780" s="30">
        <v>366.071166278178</v>
      </c>
      <c r="U780" s="30">
        <v>56.171635648490621</v>
      </c>
      <c r="V780" s="30">
        <v>0</v>
      </c>
      <c r="W780" s="30">
        <v>105.87468167753059</v>
      </c>
      <c r="X780" s="30">
        <v>0</v>
      </c>
    </row>
    <row r="781" spans="10:24" x14ac:dyDescent="0.25">
      <c r="J781">
        <v>773</v>
      </c>
      <c r="K781" s="30">
        <v>4277.573447730615</v>
      </c>
      <c r="L781" s="30">
        <v>2471.3262263322804</v>
      </c>
      <c r="M781" s="30">
        <v>1610.3207994349391</v>
      </c>
      <c r="N781" s="30">
        <v>-298.73526909327211</v>
      </c>
      <c r="O781" s="30">
        <v>2148.4362555959515</v>
      </c>
      <c r="P781" s="30">
        <v>-798.93894167983217</v>
      </c>
      <c r="R781">
        <v>773</v>
      </c>
      <c r="S781" s="30">
        <v>275.57275211333956</v>
      </c>
      <c r="T781" s="30">
        <v>330.0198058522945</v>
      </c>
      <c r="U781" s="30">
        <v>189.32474205504479</v>
      </c>
      <c r="V781" s="30">
        <v>0</v>
      </c>
      <c r="W781" s="30">
        <v>114.63199087301689</v>
      </c>
      <c r="X781" s="30">
        <v>0</v>
      </c>
    </row>
    <row r="782" spans="10:24" x14ac:dyDescent="0.25">
      <c r="J782">
        <v>774</v>
      </c>
      <c r="K782" s="30">
        <v>4239.2011082853987</v>
      </c>
      <c r="L782" s="30">
        <v>3915.2746574937005</v>
      </c>
      <c r="M782" s="30">
        <v>3386.9602582891716</v>
      </c>
      <c r="N782" s="30">
        <v>366.23067310239912</v>
      </c>
      <c r="O782" s="30">
        <v>-100.31225945324331</v>
      </c>
      <c r="P782" s="30">
        <v>-1583.4452995513566</v>
      </c>
      <c r="R782">
        <v>774</v>
      </c>
      <c r="S782" s="30">
        <v>353.00436779853214</v>
      </c>
      <c r="T782" s="30">
        <v>262.93788084866037</v>
      </c>
      <c r="U782" s="30">
        <v>266.94853425835618</v>
      </c>
      <c r="V782" s="30">
        <v>0</v>
      </c>
      <c r="W782" s="30">
        <v>0</v>
      </c>
      <c r="X782" s="30">
        <v>0</v>
      </c>
    </row>
    <row r="783" spans="10:24" x14ac:dyDescent="0.25">
      <c r="J783">
        <v>775</v>
      </c>
      <c r="K783" s="30">
        <v>3153.8722654204007</v>
      </c>
      <c r="L783" s="30">
        <v>2757.5350825481419</v>
      </c>
      <c r="M783" s="30">
        <v>3260.6943901742125</v>
      </c>
      <c r="N783" s="30">
        <v>2529.2952599716755</v>
      </c>
      <c r="O783" s="30">
        <v>2203.4638989034738</v>
      </c>
      <c r="P783" s="30">
        <v>114.15385363471614</v>
      </c>
      <c r="R783">
        <v>775</v>
      </c>
      <c r="S783" s="30">
        <v>307.23128524383282</v>
      </c>
      <c r="T783" s="30">
        <v>228.77767964486191</v>
      </c>
      <c r="U783" s="30">
        <v>107.51756609692251</v>
      </c>
      <c r="V783" s="30">
        <v>0</v>
      </c>
      <c r="W783" s="30">
        <v>0</v>
      </c>
      <c r="X783" s="30">
        <v>0</v>
      </c>
    </row>
    <row r="784" spans="10:24" x14ac:dyDescent="0.25">
      <c r="J784">
        <v>776</v>
      </c>
      <c r="K784" s="30">
        <v>2713.7450686526386</v>
      </c>
      <c r="L784" s="30">
        <v>3354.6251270661787</v>
      </c>
      <c r="M784" s="30">
        <v>2184.4020112906569</v>
      </c>
      <c r="N784" s="30">
        <v>920.58620012608662</v>
      </c>
      <c r="O784" s="30">
        <v>976.31701426454674</v>
      </c>
      <c r="P784" s="30">
        <v>-1586.230008066791</v>
      </c>
      <c r="R784">
        <v>776</v>
      </c>
      <c r="S784" s="30">
        <v>331.08083493686621</v>
      </c>
      <c r="T784" s="30">
        <v>300.75881758561354</v>
      </c>
      <c r="U784" s="30">
        <v>202.58847174417326</v>
      </c>
      <c r="V784" s="30">
        <v>0</v>
      </c>
      <c r="W784" s="30">
        <v>0</v>
      </c>
      <c r="X784" s="30">
        <v>0</v>
      </c>
    </row>
    <row r="785" spans="10:24" x14ac:dyDescent="0.25">
      <c r="J785">
        <v>777</v>
      </c>
      <c r="K785" s="30">
        <v>2309.0470121200938</v>
      </c>
      <c r="L785" s="30">
        <v>2968.4146381075088</v>
      </c>
      <c r="M785" s="30">
        <v>4031.1936436504834</v>
      </c>
      <c r="N785" s="30">
        <v>1126.0006290668598</v>
      </c>
      <c r="O785" s="30">
        <v>1861.5924917398133</v>
      </c>
      <c r="P785" s="30">
        <v>-844.47339562688467</v>
      </c>
      <c r="R785">
        <v>777</v>
      </c>
      <c r="S785" s="30">
        <v>325.55165431482015</v>
      </c>
      <c r="T785" s="30">
        <v>363.36353172151365</v>
      </c>
      <c r="U785" s="30">
        <v>84.014240044872679</v>
      </c>
      <c r="V785" s="30">
        <v>0</v>
      </c>
      <c r="W785" s="30">
        <v>64.64427351445454</v>
      </c>
      <c r="X785" s="30">
        <v>0</v>
      </c>
    </row>
    <row r="786" spans="10:24" x14ac:dyDescent="0.25">
      <c r="J786">
        <v>778</v>
      </c>
      <c r="K786" s="30">
        <v>3583.4890123155601</v>
      </c>
      <c r="L786" s="30">
        <v>2355.2584937430834</v>
      </c>
      <c r="M786" s="30">
        <v>2674.7565737912796</v>
      </c>
      <c r="N786" s="30">
        <v>1217.6806155468339</v>
      </c>
      <c r="O786" s="30">
        <v>1904.7033943529968</v>
      </c>
      <c r="P786" s="30">
        <v>-1895.3537958652823</v>
      </c>
      <c r="R786">
        <v>778</v>
      </c>
      <c r="S786" s="30">
        <v>203.66189775296556</v>
      </c>
      <c r="T786" s="30">
        <v>206.99873297451319</v>
      </c>
      <c r="U786" s="30">
        <v>90.985650311351719</v>
      </c>
      <c r="V786" s="30">
        <v>0</v>
      </c>
      <c r="W786" s="30">
        <v>0</v>
      </c>
      <c r="X786" s="30">
        <v>0</v>
      </c>
    </row>
    <row r="787" spans="10:24" x14ac:dyDescent="0.25">
      <c r="J787">
        <v>779</v>
      </c>
      <c r="K787" s="30">
        <v>3385.9060690194574</v>
      </c>
      <c r="L787" s="30">
        <v>3680.3076648433976</v>
      </c>
      <c r="M787" s="30">
        <v>2530.05881035535</v>
      </c>
      <c r="N787" s="30">
        <v>-1236.4908808878563</v>
      </c>
      <c r="O787" s="30">
        <v>-2157.7859341754556</v>
      </c>
      <c r="P787" s="30">
        <v>-2010.1607743588802</v>
      </c>
      <c r="R787">
        <v>779</v>
      </c>
      <c r="S787" s="30">
        <v>178.69070753285149</v>
      </c>
      <c r="T787" s="30">
        <v>236.3250656540456</v>
      </c>
      <c r="U787" s="30">
        <v>186.51642864122095</v>
      </c>
      <c r="V787" s="30">
        <v>0</v>
      </c>
      <c r="W787" s="30">
        <v>0</v>
      </c>
      <c r="X787" s="30">
        <v>0</v>
      </c>
    </row>
    <row r="788" spans="10:24" x14ac:dyDescent="0.25">
      <c r="J788">
        <v>780</v>
      </c>
      <c r="K788" s="30">
        <v>2683.4887838003638</v>
      </c>
      <c r="L788" s="30">
        <v>4144.1903530719401</v>
      </c>
      <c r="M788" s="30">
        <v>3157.5727070298544</v>
      </c>
      <c r="N788" s="30">
        <v>-756.86376390945588</v>
      </c>
      <c r="O788" s="30">
        <v>744.02724277433936</v>
      </c>
      <c r="P788" s="30">
        <v>875.00855875283014</v>
      </c>
      <c r="R788">
        <v>780</v>
      </c>
      <c r="S788" s="30">
        <v>280.63024353019978</v>
      </c>
      <c r="T788" s="30">
        <v>296.10813350711913</v>
      </c>
      <c r="U788" s="30">
        <v>268.10473341601141</v>
      </c>
      <c r="V788" s="30">
        <v>2.840313194688747</v>
      </c>
      <c r="W788" s="30">
        <v>0</v>
      </c>
      <c r="X788" s="30">
        <v>0</v>
      </c>
    </row>
    <row r="789" spans="10:24" x14ac:dyDescent="0.25">
      <c r="J789">
        <v>781</v>
      </c>
      <c r="K789" s="30">
        <v>3901.1965277124609</v>
      </c>
      <c r="L789" s="30">
        <v>2784.0028198814807</v>
      </c>
      <c r="M789" s="30">
        <v>1214.2965663433561</v>
      </c>
      <c r="N789" s="30">
        <v>1241.4211824976846</v>
      </c>
      <c r="O789" s="30">
        <v>21.19875081788814</v>
      </c>
      <c r="P789" s="30">
        <v>-1752.5955168947494</v>
      </c>
      <c r="R789">
        <v>781</v>
      </c>
      <c r="S789" s="30">
        <v>270.05858004806549</v>
      </c>
      <c r="T789" s="30">
        <v>353.6001128121905</v>
      </c>
      <c r="U789" s="30">
        <v>178.93297758328015</v>
      </c>
      <c r="V789" s="30">
        <v>0</v>
      </c>
      <c r="W789" s="30">
        <v>34.274408875332028</v>
      </c>
      <c r="X789" s="30">
        <v>10.515387390404499</v>
      </c>
    </row>
    <row r="790" spans="10:24" x14ac:dyDescent="0.25">
      <c r="J790">
        <v>782</v>
      </c>
      <c r="K790" s="30">
        <v>4020.5938776581306</v>
      </c>
      <c r="L790" s="30">
        <v>2958.7731605715267</v>
      </c>
      <c r="M790" s="30">
        <v>3615.5346873108924</v>
      </c>
      <c r="N790" s="30">
        <v>1170.3350431048393</v>
      </c>
      <c r="O790" s="30">
        <v>3437.2446238239409</v>
      </c>
      <c r="P790" s="30">
        <v>-147.82302261231143</v>
      </c>
      <c r="R790">
        <v>782</v>
      </c>
      <c r="S790" s="30">
        <v>258.91701104012975</v>
      </c>
      <c r="T790" s="30">
        <v>229.45287095060769</v>
      </c>
      <c r="U790" s="30">
        <v>184.30501378876863</v>
      </c>
      <c r="V790" s="30">
        <v>0</v>
      </c>
      <c r="W790" s="30">
        <v>0</v>
      </c>
      <c r="X790" s="30">
        <v>0</v>
      </c>
    </row>
    <row r="791" spans="10:24" x14ac:dyDescent="0.25">
      <c r="J791">
        <v>783</v>
      </c>
      <c r="K791" s="30">
        <v>2811.2271585837852</v>
      </c>
      <c r="L791" s="30">
        <v>2666.0712002958644</v>
      </c>
      <c r="M791" s="30">
        <v>3380.5619384165529</v>
      </c>
      <c r="N791" s="30">
        <v>-1176.751023739932</v>
      </c>
      <c r="O791" s="30">
        <v>2034.3827278540211</v>
      </c>
      <c r="P791" s="30">
        <v>-2515.5567579972603</v>
      </c>
      <c r="R791">
        <v>783</v>
      </c>
      <c r="S791" s="30">
        <v>196.0066321193969</v>
      </c>
      <c r="T791" s="30">
        <v>294.32532460383231</v>
      </c>
      <c r="U791" s="30">
        <v>120.29301208726866</v>
      </c>
      <c r="V791" s="30">
        <v>0</v>
      </c>
      <c r="W791" s="30">
        <v>0</v>
      </c>
      <c r="X791" s="30">
        <v>0</v>
      </c>
    </row>
    <row r="792" spans="10:24" x14ac:dyDescent="0.25">
      <c r="J792">
        <v>784</v>
      </c>
      <c r="K792" s="30">
        <v>3918.0211759911463</v>
      </c>
      <c r="L792" s="30">
        <v>2614.5884187391607</v>
      </c>
      <c r="M792" s="30">
        <v>3484.2828337476703</v>
      </c>
      <c r="N792" s="30">
        <v>-1755.9039019729644</v>
      </c>
      <c r="O792" s="30">
        <v>-1095.6770258440483</v>
      </c>
      <c r="P792" s="30">
        <v>-2541.3640944067502</v>
      </c>
      <c r="R792">
        <v>784</v>
      </c>
      <c r="S792" s="30">
        <v>260.06755944361731</v>
      </c>
      <c r="T792" s="30">
        <v>271.97745104830807</v>
      </c>
      <c r="U792" s="30">
        <v>138.39223375290521</v>
      </c>
      <c r="V792" s="30">
        <v>0</v>
      </c>
      <c r="W792" s="30">
        <v>0</v>
      </c>
      <c r="X792" s="30">
        <v>0</v>
      </c>
    </row>
    <row r="793" spans="10:24" x14ac:dyDescent="0.25">
      <c r="J793">
        <v>785</v>
      </c>
      <c r="K793" s="30">
        <v>2913.8728080022497</v>
      </c>
      <c r="L793" s="30">
        <v>4373.0127327008449</v>
      </c>
      <c r="M793" s="30">
        <v>2322.2995886040321</v>
      </c>
      <c r="N793" s="30">
        <v>-228.14007020178451</v>
      </c>
      <c r="O793" s="30">
        <v>-42.944869136177658</v>
      </c>
      <c r="P793" s="30">
        <v>1426.4076449461754</v>
      </c>
      <c r="R793">
        <v>785</v>
      </c>
      <c r="S793" s="30">
        <v>191.49509650725764</v>
      </c>
      <c r="T793" s="30">
        <v>307.37015682404478</v>
      </c>
      <c r="U793" s="30">
        <v>201.44310425032165</v>
      </c>
      <c r="V793" s="30">
        <v>0</v>
      </c>
      <c r="W793" s="30">
        <v>0</v>
      </c>
      <c r="X793" s="30">
        <v>0</v>
      </c>
    </row>
    <row r="794" spans="10:24" x14ac:dyDescent="0.25">
      <c r="J794">
        <v>786</v>
      </c>
      <c r="K794" s="30">
        <v>2408.223017772787</v>
      </c>
      <c r="L794" s="30">
        <v>1988.1008146980967</v>
      </c>
      <c r="M794" s="30">
        <v>2593.1142239292176</v>
      </c>
      <c r="N794" s="30">
        <v>-179.06401473694586</v>
      </c>
      <c r="O794" s="30">
        <v>61.311684285899901</v>
      </c>
      <c r="P794" s="30">
        <v>922.30406308773308</v>
      </c>
      <c r="R794">
        <v>786</v>
      </c>
      <c r="S794" s="30">
        <v>294.81863572718305</v>
      </c>
      <c r="T794" s="30">
        <v>293.75708211929731</v>
      </c>
      <c r="U794" s="30">
        <v>251.40639650587013</v>
      </c>
      <c r="V794" s="30">
        <v>59.517187425055909</v>
      </c>
      <c r="W794" s="30">
        <v>0</v>
      </c>
      <c r="X794" s="30">
        <v>0</v>
      </c>
    </row>
    <row r="795" spans="10:24" x14ac:dyDescent="0.25">
      <c r="J795">
        <v>787</v>
      </c>
      <c r="K795" s="30">
        <v>2456.1924000580389</v>
      </c>
      <c r="L795" s="30">
        <v>3021.8846131665223</v>
      </c>
      <c r="M795" s="30">
        <v>3796.1259226563393</v>
      </c>
      <c r="N795" s="30">
        <v>1178.8292656999138</v>
      </c>
      <c r="O795" s="30">
        <v>1204.6299423074515</v>
      </c>
      <c r="P795" s="30">
        <v>1848.4999060212249</v>
      </c>
      <c r="R795">
        <v>787</v>
      </c>
      <c r="S795" s="30">
        <v>201.59822478982778</v>
      </c>
      <c r="T795" s="30">
        <v>228.02356226841084</v>
      </c>
      <c r="U795" s="30">
        <v>81.58621540519141</v>
      </c>
      <c r="V795" s="30">
        <v>0</v>
      </c>
      <c r="W795" s="30">
        <v>0</v>
      </c>
      <c r="X795" s="30">
        <v>0</v>
      </c>
    </row>
    <row r="796" spans="10:24" x14ac:dyDescent="0.25">
      <c r="J796">
        <v>788</v>
      </c>
      <c r="K796" s="30">
        <v>2371.9986709580344</v>
      </c>
      <c r="L796" s="30">
        <v>3137.3622689847107</v>
      </c>
      <c r="M796" s="30">
        <v>2037.9169352241988</v>
      </c>
      <c r="N796" s="30">
        <v>874.60462287736118</v>
      </c>
      <c r="O796" s="30">
        <v>1836.7182145250172</v>
      </c>
      <c r="P796" s="30">
        <v>-1981.8691053821894</v>
      </c>
      <c r="R796">
        <v>788</v>
      </c>
      <c r="S796" s="30">
        <v>250.64355893688736</v>
      </c>
      <c r="T796" s="30">
        <v>285.33671772237415</v>
      </c>
      <c r="U796" s="30">
        <v>207.67071032822884</v>
      </c>
      <c r="V796" s="30">
        <v>0</v>
      </c>
      <c r="W796" s="30">
        <v>4.4946817798116854</v>
      </c>
      <c r="X796" s="30">
        <v>0</v>
      </c>
    </row>
    <row r="797" spans="10:24" x14ac:dyDescent="0.25">
      <c r="J797">
        <v>789</v>
      </c>
      <c r="K797" s="30">
        <v>2457.6620156040294</v>
      </c>
      <c r="L797" s="30">
        <v>2822.1215069575219</v>
      </c>
      <c r="M797" s="30">
        <v>1719.4490249842174</v>
      </c>
      <c r="N797" s="30">
        <v>-1136.2500253812686</v>
      </c>
      <c r="O797" s="30">
        <v>1616.5080831548585</v>
      </c>
      <c r="P797" s="30">
        <v>746.07678518531338</v>
      </c>
      <c r="R797">
        <v>789</v>
      </c>
      <c r="S797" s="30">
        <v>335.17866602479893</v>
      </c>
      <c r="T797" s="30">
        <v>314.401719901158</v>
      </c>
      <c r="U797" s="30">
        <v>98.569088328355974</v>
      </c>
      <c r="V797" s="30">
        <v>64.255316718461586</v>
      </c>
      <c r="W797" s="30">
        <v>149.79733643837915</v>
      </c>
      <c r="X797" s="30">
        <v>0</v>
      </c>
    </row>
    <row r="798" spans="10:24" x14ac:dyDescent="0.25">
      <c r="J798">
        <v>790</v>
      </c>
      <c r="K798" s="30">
        <v>2904.6577616662516</v>
      </c>
      <c r="L798" s="30">
        <v>2566.6459772884446</v>
      </c>
      <c r="M798" s="30">
        <v>1724.0725654189373</v>
      </c>
      <c r="N798" s="30">
        <v>3144.9155246799764</v>
      </c>
      <c r="O798" s="30">
        <v>822.1552063223553</v>
      </c>
      <c r="P798" s="30">
        <v>562.02060573203198</v>
      </c>
      <c r="R798">
        <v>790</v>
      </c>
      <c r="S798" s="30">
        <v>148.51831319815386</v>
      </c>
      <c r="T798" s="30">
        <v>335.68984610310906</v>
      </c>
      <c r="U798" s="30">
        <v>117.95103472729187</v>
      </c>
      <c r="V798" s="30">
        <v>0</v>
      </c>
      <c r="W798" s="30">
        <v>0</v>
      </c>
      <c r="X798" s="30">
        <v>0</v>
      </c>
    </row>
    <row r="799" spans="10:24" x14ac:dyDescent="0.25">
      <c r="J799">
        <v>791</v>
      </c>
      <c r="K799" s="30">
        <v>3800.6606233053913</v>
      </c>
      <c r="L799" s="30">
        <v>3811.7169722135714</v>
      </c>
      <c r="M799" s="30">
        <v>2940.606925623948</v>
      </c>
      <c r="N799" s="30">
        <v>-728.54155978975905</v>
      </c>
      <c r="O799" s="30">
        <v>1798.6532525934153</v>
      </c>
      <c r="P799" s="30">
        <v>-292.16725166992273</v>
      </c>
      <c r="R799">
        <v>791</v>
      </c>
      <c r="S799" s="30">
        <v>294.33303992156692</v>
      </c>
      <c r="T799" s="30">
        <v>201.47216010894755</v>
      </c>
      <c r="U799" s="30">
        <v>173.30201580057468</v>
      </c>
      <c r="V799" s="30">
        <v>0</v>
      </c>
      <c r="W799" s="30">
        <v>0</v>
      </c>
      <c r="X799" s="30">
        <v>0</v>
      </c>
    </row>
    <row r="800" spans="10:24" x14ac:dyDescent="0.25">
      <c r="J800">
        <v>792</v>
      </c>
      <c r="K800" s="30">
        <v>3848.0349696104608</v>
      </c>
      <c r="L800" s="30">
        <v>2809.1854376771726</v>
      </c>
      <c r="M800" s="30">
        <v>1921.3645380122748</v>
      </c>
      <c r="N800" s="30">
        <v>-1749.4335497876418</v>
      </c>
      <c r="O800" s="30">
        <v>1248.6876857874877</v>
      </c>
      <c r="P800" s="30">
        <v>-1282.6550264983207</v>
      </c>
      <c r="R800">
        <v>792</v>
      </c>
      <c r="S800" s="30">
        <v>319.91992114561197</v>
      </c>
      <c r="T800" s="30">
        <v>321.0683753849604</v>
      </c>
      <c r="U800" s="30">
        <v>205.7562109565996</v>
      </c>
      <c r="V800" s="30">
        <v>0</v>
      </c>
      <c r="W800" s="30">
        <v>0</v>
      </c>
      <c r="X800" s="30">
        <v>0</v>
      </c>
    </row>
    <row r="801" spans="10:24" x14ac:dyDescent="0.25">
      <c r="J801">
        <v>793</v>
      </c>
      <c r="K801" s="30">
        <v>3199.1720807048423</v>
      </c>
      <c r="L801" s="30">
        <v>2517.6309837882459</v>
      </c>
      <c r="M801" s="30">
        <v>3863.0022193114214</v>
      </c>
      <c r="N801" s="30">
        <v>46.418461421526445</v>
      </c>
      <c r="O801" s="30">
        <v>2437.4692048232755</v>
      </c>
      <c r="P801" s="30">
        <v>-12.620085103079873</v>
      </c>
      <c r="R801">
        <v>793</v>
      </c>
      <c r="S801" s="30">
        <v>302.10203160466341</v>
      </c>
      <c r="T801" s="30">
        <v>222.18436628128728</v>
      </c>
      <c r="U801" s="30">
        <v>149.15505675967466</v>
      </c>
      <c r="V801" s="30">
        <v>129.24566859969673</v>
      </c>
      <c r="W801" s="30">
        <v>195.63858974264951</v>
      </c>
      <c r="X801" s="30">
        <v>0</v>
      </c>
    </row>
    <row r="802" spans="10:24" x14ac:dyDescent="0.25">
      <c r="J802">
        <v>794</v>
      </c>
      <c r="K802" s="30">
        <v>2933.6820820750709</v>
      </c>
      <c r="L802" s="30">
        <v>2259.9977901641741</v>
      </c>
      <c r="M802" s="30">
        <v>3516.6662296848963</v>
      </c>
      <c r="N802" s="30">
        <v>2195.9325691407839</v>
      </c>
      <c r="O802" s="30">
        <v>425.12991216075898</v>
      </c>
      <c r="P802" s="30">
        <v>565.1537676889111</v>
      </c>
      <c r="R802">
        <v>794</v>
      </c>
      <c r="S802" s="30">
        <v>371.78069831091881</v>
      </c>
      <c r="T802" s="30">
        <v>243.66678944441259</v>
      </c>
      <c r="U802" s="30">
        <v>137.87950076257596</v>
      </c>
      <c r="V802" s="30">
        <v>97.095180724279771</v>
      </c>
      <c r="W802" s="30">
        <v>88.79062431867294</v>
      </c>
      <c r="X802" s="30">
        <v>0</v>
      </c>
    </row>
    <row r="803" spans="10:24" x14ac:dyDescent="0.25">
      <c r="J803">
        <v>795</v>
      </c>
      <c r="K803" s="30">
        <v>2372.6429977092407</v>
      </c>
      <c r="L803" s="30">
        <v>2783.6078547825691</v>
      </c>
      <c r="M803" s="30">
        <v>438.20117017278062</v>
      </c>
      <c r="N803" s="30">
        <v>839.7360963720057</v>
      </c>
      <c r="O803" s="30">
        <v>-177.92568002438566</v>
      </c>
      <c r="P803" s="30">
        <v>-629.92123189983704</v>
      </c>
      <c r="R803">
        <v>795</v>
      </c>
      <c r="S803" s="30">
        <v>276.39237199596369</v>
      </c>
      <c r="T803" s="30">
        <v>195.44583458694802</v>
      </c>
      <c r="U803" s="30">
        <v>203.26902273550763</v>
      </c>
      <c r="V803" s="30">
        <v>19.026190819733756</v>
      </c>
      <c r="W803" s="30">
        <v>0</v>
      </c>
      <c r="X803" s="30">
        <v>0</v>
      </c>
    </row>
    <row r="804" spans="10:24" x14ac:dyDescent="0.25">
      <c r="J804">
        <v>796</v>
      </c>
      <c r="K804" s="30">
        <v>3014.7821504680514</v>
      </c>
      <c r="L804" s="30">
        <v>2547.4569567293211</v>
      </c>
      <c r="M804" s="30">
        <v>2399.0948100326204</v>
      </c>
      <c r="N804" s="30">
        <v>984.15837038249356</v>
      </c>
      <c r="O804" s="30">
        <v>423.34685718636047</v>
      </c>
      <c r="P804" s="30">
        <v>-784.85316995241647</v>
      </c>
      <c r="R804">
        <v>796</v>
      </c>
      <c r="S804" s="30">
        <v>288.87310517041936</v>
      </c>
      <c r="T804" s="30">
        <v>237.93505503880641</v>
      </c>
      <c r="U804" s="30">
        <v>139.02783800925476</v>
      </c>
      <c r="V804" s="30">
        <v>0</v>
      </c>
      <c r="W804" s="30">
        <v>84.724959971054886</v>
      </c>
      <c r="X804" s="30">
        <v>0</v>
      </c>
    </row>
    <row r="805" spans="10:24" x14ac:dyDescent="0.25">
      <c r="J805">
        <v>797</v>
      </c>
      <c r="K805" s="30">
        <v>3801.0724206322639</v>
      </c>
      <c r="L805" s="30">
        <v>3573.9016325815892</v>
      </c>
      <c r="M805" s="30">
        <v>2189.1057709844163</v>
      </c>
      <c r="N805" s="30">
        <v>-1439.9834855422596</v>
      </c>
      <c r="O805" s="30">
        <v>1439.0607976139709</v>
      </c>
      <c r="P805" s="30">
        <v>-1690.4307944234042</v>
      </c>
      <c r="R805">
        <v>797</v>
      </c>
      <c r="S805" s="30">
        <v>329.99097264748701</v>
      </c>
      <c r="T805" s="30">
        <v>223.61443592535824</v>
      </c>
      <c r="U805" s="30">
        <v>196.89467914456094</v>
      </c>
      <c r="V805" s="30">
        <v>28.839717928905088</v>
      </c>
      <c r="W805" s="30">
        <v>0</v>
      </c>
      <c r="X805" s="30">
        <v>0</v>
      </c>
    </row>
    <row r="806" spans="10:24" x14ac:dyDescent="0.25">
      <c r="J806">
        <v>798</v>
      </c>
      <c r="K806" s="30">
        <v>3003.4250820863294</v>
      </c>
      <c r="L806" s="30">
        <v>4059.2815725427968</v>
      </c>
      <c r="M806" s="30">
        <v>2507.8523972818375</v>
      </c>
      <c r="N806" s="30">
        <v>128.69368695624871</v>
      </c>
      <c r="O806" s="30">
        <v>-1236.9396490926538</v>
      </c>
      <c r="P806" s="30">
        <v>1130.2849403225346</v>
      </c>
      <c r="R806">
        <v>798</v>
      </c>
      <c r="S806" s="30">
        <v>346.75865909066641</v>
      </c>
      <c r="T806" s="30">
        <v>315.85458592025208</v>
      </c>
      <c r="U806" s="30">
        <v>201.77287046458508</v>
      </c>
      <c r="V806" s="30">
        <v>30.510057279473585</v>
      </c>
      <c r="W806" s="30">
        <v>0</v>
      </c>
      <c r="X806" s="30">
        <v>0</v>
      </c>
    </row>
    <row r="807" spans="10:24" x14ac:dyDescent="0.25">
      <c r="J807">
        <v>799</v>
      </c>
      <c r="K807" s="30">
        <v>4012.9254265510003</v>
      </c>
      <c r="L807" s="30">
        <v>2480.3232193741287</v>
      </c>
      <c r="M807" s="30">
        <v>2232.9893841803296</v>
      </c>
      <c r="N807" s="30">
        <v>2316.3648615676366</v>
      </c>
      <c r="O807" s="30">
        <v>725.87814035458359</v>
      </c>
      <c r="P807" s="30">
        <v>-1660.2564205895796</v>
      </c>
      <c r="R807">
        <v>799</v>
      </c>
      <c r="S807" s="30">
        <v>288.44685564188853</v>
      </c>
      <c r="T807" s="30">
        <v>266.49928363786921</v>
      </c>
      <c r="U807" s="30">
        <v>113.91297750883507</v>
      </c>
      <c r="V807" s="30">
        <v>0</v>
      </c>
      <c r="W807" s="30">
        <v>11.156629839042012</v>
      </c>
      <c r="X807" s="30">
        <v>0</v>
      </c>
    </row>
    <row r="808" spans="10:24" x14ac:dyDescent="0.25">
      <c r="J808">
        <v>800</v>
      </c>
      <c r="K808" s="30">
        <v>2841.0834348923909</v>
      </c>
      <c r="L808" s="30">
        <v>2754.5803863444562</v>
      </c>
      <c r="M808" s="30">
        <v>3096.2456191470374</v>
      </c>
      <c r="N808" s="30">
        <v>2433.645596911847</v>
      </c>
      <c r="O808" s="30">
        <v>3032.6659906414134</v>
      </c>
      <c r="P808" s="30">
        <v>-2139.887152941671</v>
      </c>
      <c r="R808">
        <v>800</v>
      </c>
      <c r="S808" s="30">
        <v>308.06867353041355</v>
      </c>
      <c r="T808" s="30">
        <v>295.48439455915894</v>
      </c>
      <c r="U808" s="30">
        <v>248.94587572854505</v>
      </c>
      <c r="V808" s="30">
        <v>0</v>
      </c>
      <c r="W808" s="30">
        <v>62.626011709329077</v>
      </c>
      <c r="X808" s="30">
        <v>0</v>
      </c>
    </row>
    <row r="809" spans="10:24" x14ac:dyDescent="0.25">
      <c r="J809">
        <v>801</v>
      </c>
      <c r="K809" s="30">
        <v>2698.7027810588793</v>
      </c>
      <c r="L809" s="30">
        <v>3053.5717415977992</v>
      </c>
      <c r="M809" s="30">
        <v>3917.8296453763155</v>
      </c>
      <c r="N809" s="30">
        <v>1559.7034577175082</v>
      </c>
      <c r="O809" s="30">
        <v>2524.012939982862</v>
      </c>
      <c r="P809" s="30">
        <v>1008.9907055219182</v>
      </c>
      <c r="R809">
        <v>801</v>
      </c>
      <c r="S809" s="30">
        <v>334.29365476056626</v>
      </c>
      <c r="T809" s="30">
        <v>430.64040733210766</v>
      </c>
      <c r="U809" s="30">
        <v>202.74730049011833</v>
      </c>
      <c r="V809" s="30">
        <v>0</v>
      </c>
      <c r="W809" s="30">
        <v>0</v>
      </c>
      <c r="X809" s="30">
        <v>53.816775889320979</v>
      </c>
    </row>
    <row r="810" spans="10:24" x14ac:dyDescent="0.25">
      <c r="J810">
        <v>802</v>
      </c>
      <c r="K810" s="30">
        <v>4038.6418315650981</v>
      </c>
      <c r="L810" s="30">
        <v>2091.4901535586282</v>
      </c>
      <c r="M810" s="30">
        <v>2041.9037498106622</v>
      </c>
      <c r="N810" s="30">
        <v>-232.5800778837156</v>
      </c>
      <c r="O810" s="30">
        <v>1969.1590400264413</v>
      </c>
      <c r="P810" s="30">
        <v>-582.28068025733319</v>
      </c>
      <c r="R810">
        <v>802</v>
      </c>
      <c r="S810" s="30">
        <v>204.70325282464086</v>
      </c>
      <c r="T810" s="30">
        <v>389.43125070967415</v>
      </c>
      <c r="U810" s="30">
        <v>104.43254583454035</v>
      </c>
      <c r="V810" s="30">
        <v>0</v>
      </c>
      <c r="W810" s="30">
        <v>276.4056649767515</v>
      </c>
      <c r="X810" s="30">
        <v>0</v>
      </c>
    </row>
    <row r="811" spans="10:24" x14ac:dyDescent="0.25">
      <c r="J811">
        <v>803</v>
      </c>
      <c r="K811" s="30">
        <v>2173.3347102640337</v>
      </c>
      <c r="L811" s="30">
        <v>3783.7263545881283</v>
      </c>
      <c r="M811" s="30">
        <v>2746.5135779232519</v>
      </c>
      <c r="N811" s="30">
        <v>-2149.2850616973246</v>
      </c>
      <c r="O811" s="30">
        <v>-846.42349609540906</v>
      </c>
      <c r="P811" s="30">
        <v>-504.14488673662891</v>
      </c>
      <c r="R811">
        <v>803</v>
      </c>
      <c r="S811" s="30">
        <v>167.0515782383805</v>
      </c>
      <c r="T811" s="30">
        <v>257.40682394143795</v>
      </c>
      <c r="U811" s="30">
        <v>213.29838881218251</v>
      </c>
      <c r="V811" s="30">
        <v>122.35220824188502</v>
      </c>
      <c r="W811" s="30">
        <v>0</v>
      </c>
      <c r="X811" s="30">
        <v>0</v>
      </c>
    </row>
    <row r="812" spans="10:24" x14ac:dyDescent="0.25">
      <c r="J812">
        <v>804</v>
      </c>
      <c r="K812" s="30">
        <v>2873.6055280490159</v>
      </c>
      <c r="L812" s="30">
        <v>3917.6444933300804</v>
      </c>
      <c r="M812" s="30">
        <v>3401.0549765853198</v>
      </c>
      <c r="N812" s="30">
        <v>913.60568847407467</v>
      </c>
      <c r="O812" s="30">
        <v>2620.7010959576073</v>
      </c>
      <c r="P812" s="30">
        <v>1874.2545409662944</v>
      </c>
      <c r="R812">
        <v>804</v>
      </c>
      <c r="S812" s="30">
        <v>291.27470344593758</v>
      </c>
      <c r="T812" s="30">
        <v>329.93209409942318</v>
      </c>
      <c r="U812" s="30">
        <v>121.72442422000609</v>
      </c>
      <c r="V812" s="30">
        <v>38.005565372150102</v>
      </c>
      <c r="W812" s="30">
        <v>67.757948418943897</v>
      </c>
      <c r="X812" s="30">
        <v>0</v>
      </c>
    </row>
    <row r="813" spans="10:24" x14ac:dyDescent="0.25">
      <c r="J813">
        <v>805</v>
      </c>
      <c r="K813" s="30">
        <v>2603.5680437739952</v>
      </c>
      <c r="L813" s="30">
        <v>3191.4054954968924</v>
      </c>
      <c r="M813" s="30">
        <v>2608.7073331413485</v>
      </c>
      <c r="N813" s="30">
        <v>2558.180218610978</v>
      </c>
      <c r="O813" s="30">
        <v>1115.585809545234</v>
      </c>
      <c r="P813" s="30">
        <v>1168.1632072584262</v>
      </c>
      <c r="R813">
        <v>805</v>
      </c>
      <c r="S813" s="30">
        <v>374.91097266105487</v>
      </c>
      <c r="T813" s="30">
        <v>322.36151565059885</v>
      </c>
      <c r="U813" s="30">
        <v>122.00843436747573</v>
      </c>
      <c r="V813" s="30">
        <v>0</v>
      </c>
      <c r="W813" s="30">
        <v>38.781397687230765</v>
      </c>
      <c r="X813" s="30">
        <v>0</v>
      </c>
    </row>
    <row r="814" spans="10:24" x14ac:dyDescent="0.25">
      <c r="J814">
        <v>806</v>
      </c>
      <c r="K814" s="30">
        <v>3653.9327335716353</v>
      </c>
      <c r="L814" s="30">
        <v>3669.7778691883932</v>
      </c>
      <c r="M814" s="30">
        <v>3102.9176931735524</v>
      </c>
      <c r="N814" s="30">
        <v>-399.70055623520966</v>
      </c>
      <c r="O814" s="30">
        <v>-1224.3224560007529</v>
      </c>
      <c r="P814" s="30">
        <v>-935.76111562671758</v>
      </c>
      <c r="R814">
        <v>806</v>
      </c>
      <c r="S814" s="30">
        <v>292.16770213325015</v>
      </c>
      <c r="T814" s="30">
        <v>207.39929394999001</v>
      </c>
      <c r="U814" s="30">
        <v>284.80616094913609</v>
      </c>
      <c r="V814" s="30">
        <v>0</v>
      </c>
      <c r="W814" s="30">
        <v>0</v>
      </c>
      <c r="X814" s="30">
        <v>0</v>
      </c>
    </row>
    <row r="815" spans="10:24" x14ac:dyDescent="0.25">
      <c r="J815">
        <v>807</v>
      </c>
      <c r="K815" s="30">
        <v>3453.6051928448101</v>
      </c>
      <c r="L815" s="30">
        <v>4141.3137698138598</v>
      </c>
      <c r="M815" s="30">
        <v>3694.6209044639304</v>
      </c>
      <c r="N815" s="30">
        <v>-627.78204440967693</v>
      </c>
      <c r="O815" s="30">
        <v>-101.77885335255996</v>
      </c>
      <c r="P815" s="30">
        <v>-1852.585626952402</v>
      </c>
      <c r="R815">
        <v>807</v>
      </c>
      <c r="S815" s="30">
        <v>281.11648301193742</v>
      </c>
      <c r="T815" s="30">
        <v>336.53679467339907</v>
      </c>
      <c r="U815" s="30">
        <v>136.8076779780983</v>
      </c>
      <c r="V815" s="30">
        <v>20.564337259618355</v>
      </c>
      <c r="W815" s="30">
        <v>31.770567684808839</v>
      </c>
      <c r="X815" s="30">
        <v>0</v>
      </c>
    </row>
    <row r="816" spans="10:24" x14ac:dyDescent="0.25">
      <c r="J816">
        <v>808</v>
      </c>
      <c r="K816" s="30">
        <v>4369.8325724977758</v>
      </c>
      <c r="L816" s="30">
        <v>4529.6455256810323</v>
      </c>
      <c r="M816" s="30">
        <v>1598.5050613447956</v>
      </c>
      <c r="N816" s="30">
        <v>1082.5869098319272</v>
      </c>
      <c r="O816" s="30">
        <v>1474.4649188668654</v>
      </c>
      <c r="P816" s="30">
        <v>766.35008699033369</v>
      </c>
      <c r="R816">
        <v>808</v>
      </c>
      <c r="S816" s="30">
        <v>246.54317091795843</v>
      </c>
      <c r="T816" s="30">
        <v>375.14419534890743</v>
      </c>
      <c r="U816" s="30">
        <v>138.8624045555373</v>
      </c>
      <c r="V816" s="30">
        <v>0</v>
      </c>
      <c r="W816" s="30">
        <v>0</v>
      </c>
      <c r="X816" s="30">
        <v>0</v>
      </c>
    </row>
    <row r="817" spans="10:24" x14ac:dyDescent="0.25">
      <c r="J817">
        <v>809</v>
      </c>
      <c r="K817" s="30">
        <v>2242.4754969182804</v>
      </c>
      <c r="L817" s="30">
        <v>2101.6471291354455</v>
      </c>
      <c r="M817" s="30">
        <v>3595.8998280344276</v>
      </c>
      <c r="N817" s="30">
        <v>771.53641715252252</v>
      </c>
      <c r="O817" s="30">
        <v>695.07413480975902</v>
      </c>
      <c r="P817" s="30">
        <v>-2923.6276306231484</v>
      </c>
      <c r="R817">
        <v>809</v>
      </c>
      <c r="S817" s="30">
        <v>362.96407577708123</v>
      </c>
      <c r="T817" s="30">
        <v>267.52367631267168</v>
      </c>
      <c r="U817" s="30">
        <v>257.19690262702994</v>
      </c>
      <c r="V817" s="30">
        <v>0</v>
      </c>
      <c r="W817" s="30">
        <v>318.09951019824894</v>
      </c>
      <c r="X817" s="30">
        <v>0</v>
      </c>
    </row>
    <row r="818" spans="10:24" x14ac:dyDescent="0.25">
      <c r="J818">
        <v>810</v>
      </c>
      <c r="K818" s="30">
        <v>2510.6949686651164</v>
      </c>
      <c r="L818" s="30">
        <v>2543.2546429190547</v>
      </c>
      <c r="M818" s="30">
        <v>2435.6706356794698</v>
      </c>
      <c r="N818" s="30">
        <v>208.12571310249587</v>
      </c>
      <c r="O818" s="30">
        <v>-894.82306973965387</v>
      </c>
      <c r="P818" s="30">
        <v>-666.33629000838482</v>
      </c>
      <c r="R818">
        <v>810</v>
      </c>
      <c r="S818" s="30">
        <v>300.19545068709795</v>
      </c>
      <c r="T818" s="30">
        <v>372.18680071134793</v>
      </c>
      <c r="U818" s="30">
        <v>155.1155011094246</v>
      </c>
      <c r="V818" s="30">
        <v>0</v>
      </c>
      <c r="W818" s="30">
        <v>0</v>
      </c>
      <c r="X818" s="30">
        <v>0</v>
      </c>
    </row>
    <row r="819" spans="10:24" x14ac:dyDescent="0.25">
      <c r="J819">
        <v>811</v>
      </c>
      <c r="K819" s="30">
        <v>3970.1150073446211</v>
      </c>
      <c r="L819" s="30">
        <v>3869.610651072589</v>
      </c>
      <c r="M819" s="30">
        <v>3729.5608882735528</v>
      </c>
      <c r="N819" s="30">
        <v>112.15030875447246</v>
      </c>
      <c r="O819" s="30">
        <v>901.78488344060588</v>
      </c>
      <c r="P819" s="30">
        <v>-252.59388748262154</v>
      </c>
      <c r="R819">
        <v>811</v>
      </c>
      <c r="S819" s="30">
        <v>300.9283961637409</v>
      </c>
      <c r="T819" s="30">
        <v>429.76591846325454</v>
      </c>
      <c r="U819" s="30">
        <v>215.84550636798161</v>
      </c>
      <c r="V819" s="30">
        <v>80.185470359967212</v>
      </c>
      <c r="W819" s="30">
        <v>0</v>
      </c>
      <c r="X819" s="30">
        <v>0</v>
      </c>
    </row>
    <row r="820" spans="10:24" x14ac:dyDescent="0.25">
      <c r="J820">
        <v>812</v>
      </c>
      <c r="K820" s="30">
        <v>3364.4323083045911</v>
      </c>
      <c r="L820" s="30">
        <v>2388.1633723576315</v>
      </c>
      <c r="M820" s="30">
        <v>2701.7399032772742</v>
      </c>
      <c r="N820" s="30">
        <v>1134.4369406225987</v>
      </c>
      <c r="O820" s="30">
        <v>989.21364735995212</v>
      </c>
      <c r="P820" s="30">
        <v>-1083.7451251954772</v>
      </c>
      <c r="R820">
        <v>812</v>
      </c>
      <c r="S820" s="30">
        <v>231.08905158867185</v>
      </c>
      <c r="T820" s="30">
        <v>263.81121395543624</v>
      </c>
      <c r="U820" s="30">
        <v>270.42151812575867</v>
      </c>
      <c r="V820" s="30">
        <v>0</v>
      </c>
      <c r="W820" s="30">
        <v>13.434168256623025</v>
      </c>
      <c r="X820" s="30">
        <v>0</v>
      </c>
    </row>
    <row r="821" spans="10:24" x14ac:dyDescent="0.25">
      <c r="J821">
        <v>813</v>
      </c>
      <c r="K821" s="30">
        <v>2636.7667460662897</v>
      </c>
      <c r="L821" s="30">
        <v>2266.1288385062317</v>
      </c>
      <c r="M821" s="30">
        <v>2403.0944426643609</v>
      </c>
      <c r="N821" s="30">
        <v>2432.8943924357063</v>
      </c>
      <c r="O821" s="30">
        <v>990.55513048502235</v>
      </c>
      <c r="P821" s="30">
        <v>-1257.69233834855</v>
      </c>
      <c r="R821">
        <v>813</v>
      </c>
      <c r="S821" s="30">
        <v>162.06691936241981</v>
      </c>
      <c r="T821" s="30">
        <v>189.54535429507871</v>
      </c>
      <c r="U821" s="30">
        <v>254.82492675347748</v>
      </c>
      <c r="V821" s="30">
        <v>60.915063487875273</v>
      </c>
      <c r="W821" s="30">
        <v>0</v>
      </c>
      <c r="X821" s="30">
        <v>0</v>
      </c>
    </row>
    <row r="822" spans="10:24" x14ac:dyDescent="0.25">
      <c r="J822">
        <v>814</v>
      </c>
      <c r="K822" s="30">
        <v>4365.23221704344</v>
      </c>
      <c r="L822" s="30">
        <v>3833.2197631667818</v>
      </c>
      <c r="M822" s="30">
        <v>3593.0513966522976</v>
      </c>
      <c r="N822" s="30">
        <v>1188.7072039230516</v>
      </c>
      <c r="O822" s="30">
        <v>861.71476845286725</v>
      </c>
      <c r="P822" s="30">
        <v>-1159.2459894146014</v>
      </c>
      <c r="R822">
        <v>814</v>
      </c>
      <c r="S822" s="30">
        <v>244.96558134907548</v>
      </c>
      <c r="T822" s="30">
        <v>277.90983542078499</v>
      </c>
      <c r="U822" s="30">
        <v>232.47962376984373</v>
      </c>
      <c r="V822" s="30">
        <v>0</v>
      </c>
      <c r="W822" s="30">
        <v>72.502500027354586</v>
      </c>
      <c r="X822" s="30">
        <v>0</v>
      </c>
    </row>
    <row r="823" spans="10:24" x14ac:dyDescent="0.25">
      <c r="J823">
        <v>815</v>
      </c>
      <c r="K823" s="30">
        <v>2985.7276099549263</v>
      </c>
      <c r="L823" s="30">
        <v>3952.1098752433522</v>
      </c>
      <c r="M823" s="30">
        <v>2286.3884475880709</v>
      </c>
      <c r="N823" s="30">
        <v>75.383396185859056</v>
      </c>
      <c r="O823" s="30">
        <v>1531.1994615778831</v>
      </c>
      <c r="P823" s="30">
        <v>603.76204896703439</v>
      </c>
      <c r="R823">
        <v>815</v>
      </c>
      <c r="S823" s="30">
        <v>240.74207758359995</v>
      </c>
      <c r="T823" s="30">
        <v>148.16753265112288</v>
      </c>
      <c r="U823" s="30">
        <v>192.41731683179307</v>
      </c>
      <c r="V823" s="30">
        <v>0</v>
      </c>
      <c r="W823" s="30">
        <v>28.841161170846476</v>
      </c>
      <c r="X823" s="30">
        <v>0</v>
      </c>
    </row>
    <row r="824" spans="10:24" x14ac:dyDescent="0.25">
      <c r="J824">
        <v>816</v>
      </c>
      <c r="K824" s="30">
        <v>2839.8838929235517</v>
      </c>
      <c r="L824" s="30">
        <v>3755.9162979741732</v>
      </c>
      <c r="M824" s="30">
        <v>3233.0446141468638</v>
      </c>
      <c r="N824" s="30">
        <v>785.32143958283177</v>
      </c>
      <c r="O824" s="30">
        <v>1409.1112794725141</v>
      </c>
      <c r="P824" s="30">
        <v>468.11100726042059</v>
      </c>
      <c r="R824">
        <v>816</v>
      </c>
      <c r="S824" s="30">
        <v>153.98750646029453</v>
      </c>
      <c r="T824" s="30">
        <v>214.60624370962114</v>
      </c>
      <c r="U824" s="30">
        <v>202.15631993472488</v>
      </c>
      <c r="V824" s="30">
        <v>0</v>
      </c>
      <c r="W824" s="30">
        <v>0</v>
      </c>
      <c r="X824" s="30">
        <v>0</v>
      </c>
    </row>
    <row r="825" spans="10:24" x14ac:dyDescent="0.25">
      <c r="J825">
        <v>817</v>
      </c>
      <c r="K825" s="30">
        <v>2410.5206467853955</v>
      </c>
      <c r="L825" s="30">
        <v>3032.941443135272</v>
      </c>
      <c r="M825" s="30">
        <v>1794.0474989241725</v>
      </c>
      <c r="N825" s="30">
        <v>2265.682198002989</v>
      </c>
      <c r="O825" s="30">
        <v>2231.8747844527261</v>
      </c>
      <c r="P825" s="30">
        <v>-1101.1273945782086</v>
      </c>
      <c r="R825">
        <v>817</v>
      </c>
      <c r="S825" s="30">
        <v>226.58559029598439</v>
      </c>
      <c r="T825" s="30">
        <v>225.05021317540019</v>
      </c>
      <c r="U825" s="30">
        <v>216.3257061359285</v>
      </c>
      <c r="V825" s="30">
        <v>0</v>
      </c>
      <c r="W825" s="30">
        <v>0</v>
      </c>
      <c r="X825" s="30">
        <v>0</v>
      </c>
    </row>
    <row r="826" spans="10:24" x14ac:dyDescent="0.25">
      <c r="J826">
        <v>818</v>
      </c>
      <c r="K826" s="30">
        <v>2686.0640905661558</v>
      </c>
      <c r="L826" s="30">
        <v>2444.1044257996527</v>
      </c>
      <c r="M826" s="30">
        <v>3347.6993727798344</v>
      </c>
      <c r="N826" s="30">
        <v>303.01333520100616</v>
      </c>
      <c r="O826" s="30">
        <v>616.72270937553367</v>
      </c>
      <c r="P826" s="30">
        <v>420.03359001843546</v>
      </c>
      <c r="R826">
        <v>818</v>
      </c>
      <c r="S826" s="30">
        <v>255.80132784012869</v>
      </c>
      <c r="T826" s="30">
        <v>275.61552229656638</v>
      </c>
      <c r="U826" s="30">
        <v>131.9054950780943</v>
      </c>
      <c r="V826" s="30">
        <v>0</v>
      </c>
      <c r="W826" s="30">
        <v>46.578987791845293</v>
      </c>
      <c r="X826" s="30">
        <v>0</v>
      </c>
    </row>
    <row r="827" spans="10:24" x14ac:dyDescent="0.25">
      <c r="J827">
        <v>819</v>
      </c>
      <c r="K827" s="30">
        <v>2567.7104525790173</v>
      </c>
      <c r="L827" s="30">
        <v>2532.7889393926107</v>
      </c>
      <c r="M827" s="30">
        <v>2722.9090883362214</v>
      </c>
      <c r="N827" s="30">
        <v>2484.992257485419</v>
      </c>
      <c r="O827" s="30">
        <v>-107.77315163194999</v>
      </c>
      <c r="P827" s="30">
        <v>668.89442084096027</v>
      </c>
      <c r="R827">
        <v>819</v>
      </c>
      <c r="S827" s="30">
        <v>192.49466399313599</v>
      </c>
      <c r="T827" s="30">
        <v>340.11632808358758</v>
      </c>
      <c r="U827" s="30">
        <v>197.70938804988668</v>
      </c>
      <c r="V827" s="30">
        <v>0</v>
      </c>
      <c r="W827" s="30">
        <v>0</v>
      </c>
      <c r="X827" s="30">
        <v>0</v>
      </c>
    </row>
    <row r="828" spans="10:24" x14ac:dyDescent="0.25">
      <c r="J828">
        <v>820</v>
      </c>
      <c r="K828" s="30">
        <v>2875.4613944518701</v>
      </c>
      <c r="L828" s="30">
        <v>2833.8424613377906</v>
      </c>
      <c r="M828" s="30">
        <v>3945.3064264588338</v>
      </c>
      <c r="N828" s="30">
        <v>1436.9571369367941</v>
      </c>
      <c r="O828" s="30">
        <v>1480.0416884138758</v>
      </c>
      <c r="P828" s="30">
        <v>-697.72736346885085</v>
      </c>
      <c r="R828">
        <v>820</v>
      </c>
      <c r="S828" s="30">
        <v>193.39245721026424</v>
      </c>
      <c r="T828" s="30">
        <v>309.97724167351646</v>
      </c>
      <c r="U828" s="30">
        <v>158.39982023180784</v>
      </c>
      <c r="V828" s="30">
        <v>13.73639294298107</v>
      </c>
      <c r="W828" s="30">
        <v>0</v>
      </c>
      <c r="X828" s="30">
        <v>0</v>
      </c>
    </row>
    <row r="829" spans="10:24" x14ac:dyDescent="0.25">
      <c r="J829">
        <v>821</v>
      </c>
      <c r="K829" s="30">
        <v>2721.7341335622509</v>
      </c>
      <c r="L829" s="30">
        <v>4009.0066489725964</v>
      </c>
      <c r="M829" s="30">
        <v>2733.556098344744</v>
      </c>
      <c r="N829" s="30">
        <v>3498.8990681520854</v>
      </c>
      <c r="O829" s="30">
        <v>1433.6294206064849</v>
      </c>
      <c r="P829" s="30">
        <v>-233.85493107238381</v>
      </c>
      <c r="R829">
        <v>821</v>
      </c>
      <c r="S829" s="30">
        <v>247.68502766552416</v>
      </c>
      <c r="T829" s="30">
        <v>198.45432262420366</v>
      </c>
      <c r="U829" s="30">
        <v>112.16892813628675</v>
      </c>
      <c r="V829" s="30">
        <v>0</v>
      </c>
      <c r="W829" s="30">
        <v>34.565829449304147</v>
      </c>
      <c r="X829" s="30">
        <v>0</v>
      </c>
    </row>
    <row r="830" spans="10:24" x14ac:dyDescent="0.25">
      <c r="J830">
        <v>822</v>
      </c>
      <c r="K830" s="30">
        <v>3835.7250096503903</v>
      </c>
      <c r="L830" s="30">
        <v>3244.6426666217722</v>
      </c>
      <c r="M830" s="30">
        <v>2909.7727723057624</v>
      </c>
      <c r="N830" s="30">
        <v>-205.71184473414723</v>
      </c>
      <c r="O830" s="30">
        <v>2456.5380815448689</v>
      </c>
      <c r="P830" s="30">
        <v>-807.67487797166268</v>
      </c>
      <c r="R830">
        <v>822</v>
      </c>
      <c r="S830" s="30">
        <v>253.29777976273112</v>
      </c>
      <c r="T830" s="30">
        <v>360.5348180473917</v>
      </c>
      <c r="U830" s="30">
        <v>211.74756259100326</v>
      </c>
      <c r="V830" s="30">
        <v>52.232987985295608</v>
      </c>
      <c r="W830" s="30">
        <v>0</v>
      </c>
      <c r="X830" s="30">
        <v>0</v>
      </c>
    </row>
    <row r="831" spans="10:24" x14ac:dyDescent="0.25">
      <c r="J831">
        <v>823</v>
      </c>
      <c r="K831" s="30">
        <v>2623.291003043184</v>
      </c>
      <c r="L831" s="30">
        <v>3646.5775303911787</v>
      </c>
      <c r="M831" s="30">
        <v>3660.4800863623932</v>
      </c>
      <c r="N831" s="30">
        <v>1926.608493048644</v>
      </c>
      <c r="O831" s="30">
        <v>869.21197126327388</v>
      </c>
      <c r="P831" s="30">
        <v>2051.1319231382067</v>
      </c>
      <c r="R831">
        <v>823</v>
      </c>
      <c r="S831" s="30">
        <v>294.20860631160906</v>
      </c>
      <c r="T831" s="30">
        <v>310.02005888249289</v>
      </c>
      <c r="U831" s="30">
        <v>203.31674483876833</v>
      </c>
      <c r="V831" s="30">
        <v>0</v>
      </c>
      <c r="W831" s="30">
        <v>14.392290743413128</v>
      </c>
      <c r="X831" s="30">
        <v>30.809327006873332</v>
      </c>
    </row>
    <row r="832" spans="10:24" x14ac:dyDescent="0.25">
      <c r="J832">
        <v>824</v>
      </c>
      <c r="K832" s="30">
        <v>3113.4212173959631</v>
      </c>
      <c r="L832" s="30">
        <v>2284.4766973818441</v>
      </c>
      <c r="M832" s="30">
        <v>2851.6084688845458</v>
      </c>
      <c r="N832" s="30">
        <v>483.07082783358055</v>
      </c>
      <c r="O832" s="30">
        <v>-832.20268989689339</v>
      </c>
      <c r="P832" s="30">
        <v>206.85806631592095</v>
      </c>
      <c r="R832">
        <v>824</v>
      </c>
      <c r="S832" s="30">
        <v>217.29054237432956</v>
      </c>
      <c r="T832" s="30">
        <v>365.90379253901909</v>
      </c>
      <c r="U832" s="30">
        <v>71.115133156728632</v>
      </c>
      <c r="V832" s="30">
        <v>48.675453547921961</v>
      </c>
      <c r="W832" s="30">
        <v>130.58608305035546</v>
      </c>
      <c r="X832" s="30">
        <v>0</v>
      </c>
    </row>
    <row r="833" spans="10:24" x14ac:dyDescent="0.25">
      <c r="J833">
        <v>825</v>
      </c>
      <c r="K833" s="30">
        <v>2659.9649973123337</v>
      </c>
      <c r="L833" s="30">
        <v>2932.1348629069862</v>
      </c>
      <c r="M833" s="30">
        <v>2866.9077474410001</v>
      </c>
      <c r="N833" s="30">
        <v>1480.6365637460312</v>
      </c>
      <c r="O833" s="30">
        <v>1004.070588223638</v>
      </c>
      <c r="P833" s="30">
        <v>-1005.8744806096711</v>
      </c>
      <c r="R833">
        <v>825</v>
      </c>
      <c r="S833" s="30">
        <v>348.32212969310683</v>
      </c>
      <c r="T833" s="30">
        <v>323.18038852511262</v>
      </c>
      <c r="U833" s="30">
        <v>181.98590019011925</v>
      </c>
      <c r="V833" s="30">
        <v>0</v>
      </c>
      <c r="W833" s="30">
        <v>0</v>
      </c>
      <c r="X833" s="30">
        <v>0</v>
      </c>
    </row>
    <row r="834" spans="10:24" x14ac:dyDescent="0.25">
      <c r="J834">
        <v>826</v>
      </c>
      <c r="K834" s="30">
        <v>2865.2812509960595</v>
      </c>
      <c r="L834" s="30">
        <v>2965.3697917694117</v>
      </c>
      <c r="M834" s="30">
        <v>3520.6988364186059</v>
      </c>
      <c r="N834" s="30">
        <v>902.16481035602828</v>
      </c>
      <c r="O834" s="30">
        <v>2613.63074059051</v>
      </c>
      <c r="P834" s="30">
        <v>-955.1764135889207</v>
      </c>
      <c r="R834">
        <v>826</v>
      </c>
      <c r="S834" s="30">
        <v>92.904002332511709</v>
      </c>
      <c r="T834" s="30">
        <v>311.89228148013069</v>
      </c>
      <c r="U834" s="30">
        <v>200.52557538236542</v>
      </c>
      <c r="V834" s="30">
        <v>18.958852244126206</v>
      </c>
      <c r="W834" s="30">
        <v>55.00357503128555</v>
      </c>
      <c r="X834" s="30">
        <v>0</v>
      </c>
    </row>
    <row r="835" spans="10:24" x14ac:dyDescent="0.25">
      <c r="J835">
        <v>827</v>
      </c>
      <c r="K835" s="30">
        <v>2707.3444027178575</v>
      </c>
      <c r="L835" s="30">
        <v>2876.6687316699986</v>
      </c>
      <c r="M835" s="30">
        <v>2686.0737737004529</v>
      </c>
      <c r="N835" s="30">
        <v>848.31173441330884</v>
      </c>
      <c r="O835" s="30">
        <v>138.84719180305183</v>
      </c>
      <c r="P835" s="30">
        <v>-844.5527970154817</v>
      </c>
      <c r="R835">
        <v>827</v>
      </c>
      <c r="S835" s="30">
        <v>252.69097486222842</v>
      </c>
      <c r="T835" s="30">
        <v>250.50282117871433</v>
      </c>
      <c r="U835" s="30">
        <v>150.77301709091876</v>
      </c>
      <c r="V835" s="30">
        <v>0.1042750769140639</v>
      </c>
      <c r="W835" s="30">
        <v>0</v>
      </c>
      <c r="X835" s="30">
        <v>0</v>
      </c>
    </row>
    <row r="836" spans="10:24" x14ac:dyDescent="0.25">
      <c r="J836">
        <v>828</v>
      </c>
      <c r="K836" s="30">
        <v>2759.4073298664212</v>
      </c>
      <c r="L836" s="30">
        <v>2450.2159598609046</v>
      </c>
      <c r="M836" s="30">
        <v>3041.9379528305071</v>
      </c>
      <c r="N836" s="30">
        <v>-343.90244887733297</v>
      </c>
      <c r="O836" s="30">
        <v>2218.5857084431373</v>
      </c>
      <c r="P836" s="30">
        <v>-365.7522080635681</v>
      </c>
      <c r="R836">
        <v>828</v>
      </c>
      <c r="S836" s="30">
        <v>267.06434122578327</v>
      </c>
      <c r="T836" s="30">
        <v>220.68865714023309</v>
      </c>
      <c r="U836" s="30">
        <v>0</v>
      </c>
      <c r="V836" s="30">
        <v>0</v>
      </c>
      <c r="W836" s="30">
        <v>137.68862444648107</v>
      </c>
      <c r="X836" s="30">
        <v>0</v>
      </c>
    </row>
    <row r="837" spans="10:24" x14ac:dyDescent="0.25">
      <c r="J837">
        <v>829</v>
      </c>
      <c r="K837" s="30">
        <v>2101.3099598570166</v>
      </c>
      <c r="L837" s="30">
        <v>3256.292179142315</v>
      </c>
      <c r="M837" s="30">
        <v>3695.3146212780766</v>
      </c>
      <c r="N837" s="30">
        <v>105.87322603709435</v>
      </c>
      <c r="O837" s="30">
        <v>37.992054320130592</v>
      </c>
      <c r="P837" s="30">
        <v>393.34612142590049</v>
      </c>
      <c r="R837">
        <v>829</v>
      </c>
      <c r="S837" s="30">
        <v>234.15473806783172</v>
      </c>
      <c r="T837" s="30">
        <v>283.47504178091606</v>
      </c>
      <c r="U837" s="30">
        <v>45.651514995412185</v>
      </c>
      <c r="V837" s="30">
        <v>67.635698996983479</v>
      </c>
      <c r="W837" s="30">
        <v>141.19544309547189</v>
      </c>
      <c r="X837" s="30">
        <v>0</v>
      </c>
    </row>
    <row r="838" spans="10:24" x14ac:dyDescent="0.25">
      <c r="J838">
        <v>830</v>
      </c>
      <c r="K838" s="30">
        <v>2893.4913504141177</v>
      </c>
      <c r="L838" s="30">
        <v>3038.5677207648823</v>
      </c>
      <c r="M838" s="30">
        <v>2417.2082944752001</v>
      </c>
      <c r="N838" s="30">
        <v>2767.545069623482</v>
      </c>
      <c r="O838" s="30">
        <v>3302.8633914190859</v>
      </c>
      <c r="P838" s="30">
        <v>1374.8200947952091</v>
      </c>
      <c r="R838">
        <v>830</v>
      </c>
      <c r="S838" s="30">
        <v>274.84875095463138</v>
      </c>
      <c r="T838" s="30">
        <v>264.74379598888964</v>
      </c>
      <c r="U838" s="30">
        <v>75.028583401975652</v>
      </c>
      <c r="V838" s="30">
        <v>0</v>
      </c>
      <c r="W838" s="30">
        <v>0</v>
      </c>
      <c r="X838" s="30">
        <v>0</v>
      </c>
    </row>
    <row r="839" spans="10:24" x14ac:dyDescent="0.25">
      <c r="J839">
        <v>831</v>
      </c>
      <c r="K839" s="30">
        <v>2851.3343698134081</v>
      </c>
      <c r="L839" s="30">
        <v>3155.22059448658</v>
      </c>
      <c r="M839" s="30">
        <v>2755.9967634121326</v>
      </c>
      <c r="N839" s="30">
        <v>3478.291289414261</v>
      </c>
      <c r="O839" s="30">
        <v>978.22464063521875</v>
      </c>
      <c r="P839" s="30">
        <v>-1412.8212000534604</v>
      </c>
      <c r="R839">
        <v>831</v>
      </c>
      <c r="S839" s="30">
        <v>306.84657038626506</v>
      </c>
      <c r="T839" s="30">
        <v>380.60158534585958</v>
      </c>
      <c r="U839" s="30">
        <v>103.35040353898881</v>
      </c>
      <c r="V839" s="30">
        <v>0</v>
      </c>
      <c r="W839" s="30">
        <v>0</v>
      </c>
      <c r="X839" s="30">
        <v>0</v>
      </c>
    </row>
    <row r="840" spans="10:24" x14ac:dyDescent="0.25">
      <c r="J840">
        <v>832</v>
      </c>
      <c r="K840" s="30">
        <v>2893.0596165011148</v>
      </c>
      <c r="L840" s="30">
        <v>2525.1249451109175</v>
      </c>
      <c r="M840" s="30">
        <v>2209.516390361604</v>
      </c>
      <c r="N840" s="30">
        <v>724.89882952712105</v>
      </c>
      <c r="O840" s="30">
        <v>-374.48678196912169</v>
      </c>
      <c r="P840" s="30">
        <v>-2524.901688359434</v>
      </c>
      <c r="R840">
        <v>832</v>
      </c>
      <c r="S840" s="30">
        <v>179.63103139614594</v>
      </c>
      <c r="T840" s="30">
        <v>295.1181038461429</v>
      </c>
      <c r="U840" s="30">
        <v>183.88403943234036</v>
      </c>
      <c r="V840" s="30">
        <v>77.648329042538307</v>
      </c>
      <c r="W840" s="30">
        <v>51.76602938520125</v>
      </c>
      <c r="X840" s="30">
        <v>0</v>
      </c>
    </row>
    <row r="841" spans="10:24" x14ac:dyDescent="0.25">
      <c r="J841">
        <v>833</v>
      </c>
      <c r="K841" s="30">
        <v>2206.1543009803554</v>
      </c>
      <c r="L841" s="30">
        <v>4226.2239515998172</v>
      </c>
      <c r="M841" s="30">
        <v>3098.0287754194387</v>
      </c>
      <c r="N841" s="30">
        <v>1043.7287801582452</v>
      </c>
      <c r="O841" s="30">
        <v>2098.6539353251464</v>
      </c>
      <c r="P841" s="30">
        <v>-970.81078118606001</v>
      </c>
      <c r="R841">
        <v>833</v>
      </c>
      <c r="S841" s="30">
        <v>391.98999828664091</v>
      </c>
      <c r="T841" s="30">
        <v>262.00752560899423</v>
      </c>
      <c r="U841" s="30">
        <v>206.58683739721141</v>
      </c>
      <c r="V841" s="30">
        <v>0</v>
      </c>
      <c r="W841" s="30">
        <v>181.61181444619433</v>
      </c>
      <c r="X841" s="30">
        <v>0</v>
      </c>
    </row>
    <row r="842" spans="10:24" x14ac:dyDescent="0.25">
      <c r="J842">
        <v>834</v>
      </c>
      <c r="K842" s="30">
        <v>2478.7160794342349</v>
      </c>
      <c r="L842" s="30">
        <v>2707.0931892008998</v>
      </c>
      <c r="M842" s="30">
        <v>1971.6208727577123</v>
      </c>
      <c r="N842" s="30">
        <v>-1090.165879034992</v>
      </c>
      <c r="O842" s="30">
        <v>2580.8148517913178</v>
      </c>
      <c r="P842" s="30">
        <v>-767.00847090312436</v>
      </c>
      <c r="R842">
        <v>834</v>
      </c>
      <c r="S842" s="30">
        <v>315.1176220381281</v>
      </c>
      <c r="T842" s="30">
        <v>221.53568008488418</v>
      </c>
      <c r="U842" s="30">
        <v>169.8345648507148</v>
      </c>
      <c r="V842" s="30">
        <v>0</v>
      </c>
      <c r="W842" s="30">
        <v>129.59481872599179</v>
      </c>
      <c r="X842" s="30">
        <v>0</v>
      </c>
    </row>
    <row r="843" spans="10:24" x14ac:dyDescent="0.25">
      <c r="J843">
        <v>835</v>
      </c>
      <c r="K843" s="30">
        <v>2545.402402158812</v>
      </c>
      <c r="L843" s="30">
        <v>2129.8373405641369</v>
      </c>
      <c r="M843" s="30">
        <v>1698.9573965507325</v>
      </c>
      <c r="N843" s="30">
        <v>-1314.148136634225</v>
      </c>
      <c r="O843" s="30">
        <v>1263.4383898891383</v>
      </c>
      <c r="P843" s="30">
        <v>-2046.0120058564262</v>
      </c>
      <c r="R843">
        <v>835</v>
      </c>
      <c r="S843" s="30">
        <v>340.55857437066055</v>
      </c>
      <c r="T843" s="30">
        <v>170.6307843162503</v>
      </c>
      <c r="U843" s="30">
        <v>249.75663627773412</v>
      </c>
      <c r="V843" s="30">
        <v>119.97187857570998</v>
      </c>
      <c r="W843" s="30">
        <v>0</v>
      </c>
      <c r="X843" s="30">
        <v>0</v>
      </c>
    </row>
    <row r="844" spans="10:24" x14ac:dyDescent="0.25">
      <c r="J844">
        <v>836</v>
      </c>
      <c r="K844" s="30">
        <v>2992.3571000093343</v>
      </c>
      <c r="L844" s="30">
        <v>1775.8039011546352</v>
      </c>
      <c r="M844" s="30">
        <v>2787.8995341518767</v>
      </c>
      <c r="N844" s="30">
        <v>455.80646311507826</v>
      </c>
      <c r="O844" s="30">
        <v>2775.404183954799</v>
      </c>
      <c r="P844" s="30">
        <v>-74.164721420571368</v>
      </c>
      <c r="R844">
        <v>836</v>
      </c>
      <c r="S844" s="30">
        <v>262.07026636130411</v>
      </c>
      <c r="T844" s="30">
        <v>327.82928309473351</v>
      </c>
      <c r="U844" s="30">
        <v>188.31866165602236</v>
      </c>
      <c r="V844" s="30">
        <v>0</v>
      </c>
      <c r="W844" s="30">
        <v>0</v>
      </c>
      <c r="X844" s="30">
        <v>69.587043833892153</v>
      </c>
    </row>
    <row r="845" spans="10:24" x14ac:dyDescent="0.25">
      <c r="J845">
        <v>837</v>
      </c>
      <c r="K845" s="30">
        <v>2609.9406591100073</v>
      </c>
      <c r="L845" s="30">
        <v>2529.0762171227543</v>
      </c>
      <c r="M845" s="30">
        <v>3539.6115205922042</v>
      </c>
      <c r="N845" s="30">
        <v>-537.88229584420606</v>
      </c>
      <c r="O845" s="30">
        <v>742.08542378521906</v>
      </c>
      <c r="P845" s="30">
        <v>-105.69481278075364</v>
      </c>
      <c r="R845">
        <v>837</v>
      </c>
      <c r="S845" s="30">
        <v>294.5739092997257</v>
      </c>
      <c r="T845" s="30">
        <v>277.16374226543223</v>
      </c>
      <c r="U845" s="30">
        <v>186.62914971829366</v>
      </c>
      <c r="V845" s="30">
        <v>28.079410020188448</v>
      </c>
      <c r="W845" s="30">
        <v>53.431950635495468</v>
      </c>
      <c r="X845" s="30">
        <v>0</v>
      </c>
    </row>
    <row r="846" spans="10:24" x14ac:dyDescent="0.25">
      <c r="J846">
        <v>838</v>
      </c>
      <c r="K846" s="30">
        <v>3630.7853555568481</v>
      </c>
      <c r="L846" s="30">
        <v>2955.0059538320747</v>
      </c>
      <c r="M846" s="30">
        <v>3790.494429799408</v>
      </c>
      <c r="N846" s="30">
        <v>2102.3826698379671</v>
      </c>
      <c r="O846" s="30">
        <v>897.77864511809094</v>
      </c>
      <c r="P846" s="30">
        <v>333.99533358458211</v>
      </c>
      <c r="R846">
        <v>838</v>
      </c>
      <c r="S846" s="30">
        <v>366.48302302025718</v>
      </c>
      <c r="T846" s="30">
        <v>300.85433110211312</v>
      </c>
      <c r="U846" s="30">
        <v>108.22783208229674</v>
      </c>
      <c r="V846" s="30">
        <v>0</v>
      </c>
      <c r="W846" s="30">
        <v>17.083661915172684</v>
      </c>
      <c r="X846" s="30">
        <v>0</v>
      </c>
    </row>
    <row r="847" spans="10:24" x14ac:dyDescent="0.25">
      <c r="J847">
        <v>839</v>
      </c>
      <c r="K847" s="30">
        <v>2752.879533686003</v>
      </c>
      <c r="L847" s="30">
        <v>2434.5150946366743</v>
      </c>
      <c r="M847" s="30">
        <v>4109.273177378891</v>
      </c>
      <c r="N847" s="30">
        <v>1886.1116210236287</v>
      </c>
      <c r="O847" s="30">
        <v>2342.913998156213</v>
      </c>
      <c r="P847" s="30">
        <v>512.78234216058718</v>
      </c>
      <c r="R847">
        <v>839</v>
      </c>
      <c r="S847" s="30">
        <v>273.58778810986615</v>
      </c>
      <c r="T847" s="30">
        <v>262.5599792542717</v>
      </c>
      <c r="U847" s="30">
        <v>120.72232136366978</v>
      </c>
      <c r="V847" s="30">
        <v>0</v>
      </c>
      <c r="W847" s="30">
        <v>0</v>
      </c>
      <c r="X847" s="30">
        <v>0</v>
      </c>
    </row>
    <row r="848" spans="10:24" x14ac:dyDescent="0.25">
      <c r="J848">
        <v>840</v>
      </c>
      <c r="K848" s="30">
        <v>1682.2041111419071</v>
      </c>
      <c r="L848" s="30">
        <v>2790.5965564864186</v>
      </c>
      <c r="M848" s="30">
        <v>2732.2536543097167</v>
      </c>
      <c r="N848" s="30">
        <v>-1670.8878457023229</v>
      </c>
      <c r="O848" s="30">
        <v>1535.4458252467693</v>
      </c>
      <c r="P848" s="30">
        <v>-1847.958631939614</v>
      </c>
      <c r="R848">
        <v>840</v>
      </c>
      <c r="S848" s="30">
        <v>263.12156575832267</v>
      </c>
      <c r="T848" s="30">
        <v>312.92463210032429</v>
      </c>
      <c r="U848" s="30">
        <v>147.01231918988361</v>
      </c>
      <c r="V848" s="30">
        <v>0</v>
      </c>
      <c r="W848" s="30">
        <v>221.60631940035154</v>
      </c>
      <c r="X848" s="30">
        <v>0</v>
      </c>
    </row>
    <row r="849" spans="10:24" x14ac:dyDescent="0.25">
      <c r="J849">
        <v>841</v>
      </c>
      <c r="K849" s="30">
        <v>2723.268901511763</v>
      </c>
      <c r="L849" s="30">
        <v>2611.7499287278943</v>
      </c>
      <c r="M849" s="30">
        <v>4051.5453265303418</v>
      </c>
      <c r="N849" s="30">
        <v>106.43486304576254</v>
      </c>
      <c r="O849" s="30">
        <v>1640.618751636719</v>
      </c>
      <c r="P849" s="30">
        <v>-566.95991093783141</v>
      </c>
      <c r="R849">
        <v>841</v>
      </c>
      <c r="S849" s="30">
        <v>293.33486082384849</v>
      </c>
      <c r="T849" s="30">
        <v>216.66861563948453</v>
      </c>
      <c r="U849" s="30">
        <v>181.16614250191265</v>
      </c>
      <c r="V849" s="30">
        <v>0</v>
      </c>
      <c r="W849" s="30">
        <v>11.593526019907813</v>
      </c>
      <c r="X849" s="30">
        <v>0</v>
      </c>
    </row>
    <row r="850" spans="10:24" x14ac:dyDescent="0.25">
      <c r="J850">
        <v>842</v>
      </c>
      <c r="K850" s="30">
        <v>3944.5825418331169</v>
      </c>
      <c r="L850" s="30">
        <v>2815.7245126047678</v>
      </c>
      <c r="M850" s="30">
        <v>3638.531356062465</v>
      </c>
      <c r="N850" s="30">
        <v>195.75273671569266</v>
      </c>
      <c r="O850" s="30">
        <v>4113.1657221137648</v>
      </c>
      <c r="P850" s="30">
        <v>-2059.521894530887</v>
      </c>
      <c r="R850">
        <v>842</v>
      </c>
      <c r="S850" s="30">
        <v>192.92997597927348</v>
      </c>
      <c r="T850" s="30">
        <v>203.01804596360796</v>
      </c>
      <c r="U850" s="30">
        <v>238.30286942635843</v>
      </c>
      <c r="V850" s="30">
        <v>0</v>
      </c>
      <c r="W850" s="30">
        <v>59.331477092317073</v>
      </c>
      <c r="X850" s="30">
        <v>0</v>
      </c>
    </row>
    <row r="851" spans="10:24" x14ac:dyDescent="0.25">
      <c r="J851">
        <v>843</v>
      </c>
      <c r="K851" s="30">
        <v>2772.7855407702905</v>
      </c>
      <c r="L851" s="30">
        <v>3135.4326506252273</v>
      </c>
      <c r="M851" s="30">
        <v>2656.0140957446147</v>
      </c>
      <c r="N851" s="30">
        <v>584.70731328365036</v>
      </c>
      <c r="O851" s="30">
        <v>393.93312417682046</v>
      </c>
      <c r="P851" s="30">
        <v>-1428.0677789557894</v>
      </c>
      <c r="R851">
        <v>843</v>
      </c>
      <c r="S851" s="30">
        <v>245.63938360322965</v>
      </c>
      <c r="T851" s="30">
        <v>297.30540621600261</v>
      </c>
      <c r="U851" s="30">
        <v>199.46282451647716</v>
      </c>
      <c r="V851" s="30">
        <v>87.571713429880106</v>
      </c>
      <c r="W851" s="30">
        <v>101.72781999914719</v>
      </c>
      <c r="X851" s="30">
        <v>0</v>
      </c>
    </row>
    <row r="852" spans="10:24" x14ac:dyDescent="0.25">
      <c r="J852">
        <v>844</v>
      </c>
      <c r="K852" s="30">
        <v>1831.5753192212142</v>
      </c>
      <c r="L852" s="30">
        <v>4363.1286882372515</v>
      </c>
      <c r="M852" s="30">
        <v>3916.275647363268</v>
      </c>
      <c r="N852" s="30">
        <v>759.11870633028775</v>
      </c>
      <c r="O852" s="30">
        <v>1602.706016191124</v>
      </c>
      <c r="P852" s="30">
        <v>-163.59088493888794</v>
      </c>
      <c r="R852">
        <v>844</v>
      </c>
      <c r="S852" s="30">
        <v>145.29961072964414</v>
      </c>
      <c r="T852" s="30">
        <v>322.8725391072349</v>
      </c>
      <c r="U852" s="30">
        <v>159.52579276348399</v>
      </c>
      <c r="V852" s="30">
        <v>0</v>
      </c>
      <c r="W852" s="30">
        <v>0</v>
      </c>
      <c r="X852" s="30">
        <v>0</v>
      </c>
    </row>
    <row r="853" spans="10:24" x14ac:dyDescent="0.25">
      <c r="J853">
        <v>845</v>
      </c>
      <c r="K853" s="30">
        <v>2246.4911301606921</v>
      </c>
      <c r="L853" s="30">
        <v>2518.210815831816</v>
      </c>
      <c r="M853" s="30">
        <v>4008.0705863249818</v>
      </c>
      <c r="N853" s="30">
        <v>149.06289721287521</v>
      </c>
      <c r="O853" s="30">
        <v>917.43374924669388</v>
      </c>
      <c r="P853" s="30">
        <v>460.86860006064853</v>
      </c>
      <c r="R853">
        <v>845</v>
      </c>
      <c r="S853" s="30">
        <v>232.63199167755766</v>
      </c>
      <c r="T853" s="30">
        <v>232.57407214672213</v>
      </c>
      <c r="U853" s="30">
        <v>159.82388682609115</v>
      </c>
      <c r="V853" s="30">
        <v>0</v>
      </c>
      <c r="W853" s="30">
        <v>0</v>
      </c>
      <c r="X853" s="30">
        <v>0</v>
      </c>
    </row>
    <row r="854" spans="10:24" x14ac:dyDescent="0.25">
      <c r="J854">
        <v>846</v>
      </c>
      <c r="K854" s="30">
        <v>1603.5998283298777</v>
      </c>
      <c r="L854" s="30">
        <v>2946.8612310659951</v>
      </c>
      <c r="M854" s="30">
        <v>3028.511416058695</v>
      </c>
      <c r="N854" s="30">
        <v>-961.46464978804397</v>
      </c>
      <c r="O854" s="30">
        <v>50.418128453939062</v>
      </c>
      <c r="P854" s="30">
        <v>-1623.7199925957239</v>
      </c>
      <c r="R854">
        <v>846</v>
      </c>
      <c r="S854" s="30">
        <v>275.77228248037443</v>
      </c>
      <c r="T854" s="30">
        <v>290.32270798856564</v>
      </c>
      <c r="U854" s="30">
        <v>249.22618535379638</v>
      </c>
      <c r="V854" s="30">
        <v>95.359120800355413</v>
      </c>
      <c r="W854" s="30">
        <v>82.298746461162978</v>
      </c>
      <c r="X854" s="30">
        <v>0</v>
      </c>
    </row>
    <row r="855" spans="10:24" x14ac:dyDescent="0.25">
      <c r="J855">
        <v>847</v>
      </c>
      <c r="K855" s="30">
        <v>2756.2771486869451</v>
      </c>
      <c r="L855" s="30">
        <v>2693.3281089637198</v>
      </c>
      <c r="M855" s="30">
        <v>2515.5600652764533</v>
      </c>
      <c r="N855" s="30">
        <v>-722.91300438786766</v>
      </c>
      <c r="O855" s="30">
        <v>2106.9696203115218</v>
      </c>
      <c r="P855" s="30">
        <v>-3062.7822500497941</v>
      </c>
      <c r="R855">
        <v>847</v>
      </c>
      <c r="S855" s="30">
        <v>277.82168161737872</v>
      </c>
      <c r="T855" s="30">
        <v>281.40010233107961</v>
      </c>
      <c r="U855" s="30">
        <v>175.27055157230245</v>
      </c>
      <c r="V855" s="30">
        <v>0</v>
      </c>
      <c r="W855" s="30">
        <v>0</v>
      </c>
      <c r="X855" s="30">
        <v>0</v>
      </c>
    </row>
    <row r="856" spans="10:24" x14ac:dyDescent="0.25">
      <c r="J856">
        <v>848</v>
      </c>
      <c r="K856" s="30">
        <v>3024.8086664838333</v>
      </c>
      <c r="L856" s="30">
        <v>3523.5636413110396</v>
      </c>
      <c r="M856" s="30">
        <v>3734.2867016421646</v>
      </c>
      <c r="N856" s="30">
        <v>353.4421299661708</v>
      </c>
      <c r="O856" s="30">
        <v>508.52878869175856</v>
      </c>
      <c r="P856" s="30">
        <v>-2023.3956125652558</v>
      </c>
      <c r="R856">
        <v>848</v>
      </c>
      <c r="S856" s="30">
        <v>340.48317125596589</v>
      </c>
      <c r="T856" s="30">
        <v>270.57115655529941</v>
      </c>
      <c r="U856" s="30">
        <v>136.63458178467278</v>
      </c>
      <c r="V856" s="30">
        <v>0</v>
      </c>
      <c r="W856" s="30">
        <v>0</v>
      </c>
      <c r="X856" s="30">
        <v>0</v>
      </c>
    </row>
    <row r="857" spans="10:24" x14ac:dyDescent="0.25">
      <c r="J857">
        <v>849</v>
      </c>
      <c r="K857" s="30">
        <v>2316.436290683373</v>
      </c>
      <c r="L857" s="30">
        <v>2536.7258705555532</v>
      </c>
      <c r="M857" s="30">
        <v>1633.14963639499</v>
      </c>
      <c r="N857" s="30">
        <v>1638.6051642179245</v>
      </c>
      <c r="O857" s="30">
        <v>1601.0814295075897</v>
      </c>
      <c r="P857" s="30">
        <v>-1472.4076409124746</v>
      </c>
      <c r="R857">
        <v>849</v>
      </c>
      <c r="S857" s="30">
        <v>295.47178489953586</v>
      </c>
      <c r="T857" s="30">
        <v>398.13213687811464</v>
      </c>
      <c r="U857" s="30">
        <v>55.889171693807896</v>
      </c>
      <c r="V857" s="30">
        <v>0</v>
      </c>
      <c r="W857" s="30">
        <v>51.378748237778609</v>
      </c>
      <c r="X857" s="30">
        <v>0</v>
      </c>
    </row>
    <row r="858" spans="10:24" x14ac:dyDescent="0.25">
      <c r="J858">
        <v>850</v>
      </c>
      <c r="K858" s="30">
        <v>1909.206745515105</v>
      </c>
      <c r="L858" s="30">
        <v>2958.8853822134142</v>
      </c>
      <c r="M858" s="30">
        <v>2282.5901865523101</v>
      </c>
      <c r="N858" s="30">
        <v>-4039.9671562094854</v>
      </c>
      <c r="O858" s="30">
        <v>-876.31449419327328</v>
      </c>
      <c r="P858" s="30">
        <v>-371.71344663573655</v>
      </c>
      <c r="R858">
        <v>850</v>
      </c>
      <c r="S858" s="30">
        <v>272.02247665542257</v>
      </c>
      <c r="T858" s="30">
        <v>211.4791111299316</v>
      </c>
      <c r="U858" s="30">
        <v>220.80336809482719</v>
      </c>
      <c r="V858" s="30">
        <v>35.836787010402645</v>
      </c>
      <c r="W858" s="30">
        <v>0</v>
      </c>
      <c r="X858" s="30">
        <v>0</v>
      </c>
    </row>
    <row r="859" spans="10:24" x14ac:dyDescent="0.25">
      <c r="J859">
        <v>851</v>
      </c>
      <c r="K859" s="30">
        <v>2854.9448063837544</v>
      </c>
      <c r="L859" s="30">
        <v>4054.5752732652295</v>
      </c>
      <c r="M859" s="30">
        <v>2063.63575371054</v>
      </c>
      <c r="N859" s="30">
        <v>-792.04728403953413</v>
      </c>
      <c r="O859" s="30">
        <v>1441.7936105886156</v>
      </c>
      <c r="P859" s="30">
        <v>-550.71213697162784</v>
      </c>
      <c r="R859">
        <v>851</v>
      </c>
      <c r="S859" s="30">
        <v>171.53065694440483</v>
      </c>
      <c r="T859" s="30">
        <v>235.69552164296869</v>
      </c>
      <c r="U859" s="30">
        <v>168.13737156819712</v>
      </c>
      <c r="V859" s="30">
        <v>0</v>
      </c>
      <c r="W859" s="30">
        <v>0</v>
      </c>
      <c r="X859" s="30">
        <v>0</v>
      </c>
    </row>
    <row r="860" spans="10:24" x14ac:dyDescent="0.25">
      <c r="J860">
        <v>852</v>
      </c>
      <c r="K860" s="30">
        <v>2187.0577761970335</v>
      </c>
      <c r="L860" s="30">
        <v>2163.8913242037129</v>
      </c>
      <c r="M860" s="30">
        <v>3935.5264546975959</v>
      </c>
      <c r="N860" s="30">
        <v>76.615731564518683</v>
      </c>
      <c r="O860" s="30">
        <v>744.04714272419187</v>
      </c>
      <c r="P860" s="30">
        <v>-142.96457705640751</v>
      </c>
      <c r="R860">
        <v>852</v>
      </c>
      <c r="S860" s="30">
        <v>335.08841011960595</v>
      </c>
      <c r="T860" s="30">
        <v>276.57049501336849</v>
      </c>
      <c r="U860" s="30">
        <v>45.440643395610152</v>
      </c>
      <c r="V860" s="30">
        <v>0</v>
      </c>
      <c r="W860" s="30">
        <v>0</v>
      </c>
      <c r="X860" s="30">
        <v>0</v>
      </c>
    </row>
    <row r="861" spans="10:24" x14ac:dyDescent="0.25">
      <c r="J861">
        <v>853</v>
      </c>
      <c r="K861" s="30">
        <v>2830.891188107013</v>
      </c>
      <c r="L861" s="30">
        <v>2877.6658656142577</v>
      </c>
      <c r="M861" s="30">
        <v>1080.2834539827018</v>
      </c>
      <c r="N861" s="30">
        <v>2840.0054674507192</v>
      </c>
      <c r="O861" s="30">
        <v>2435.2250991160672</v>
      </c>
      <c r="P861" s="30">
        <v>181.35063731095488</v>
      </c>
      <c r="R861">
        <v>853</v>
      </c>
      <c r="S861" s="30">
        <v>246.07673008076512</v>
      </c>
      <c r="T861" s="30">
        <v>392.98704208628345</v>
      </c>
      <c r="U861" s="30">
        <v>151.43218443903817</v>
      </c>
      <c r="V861" s="30">
        <v>42.04331132694</v>
      </c>
      <c r="W861" s="30">
        <v>17.61715488961579</v>
      </c>
      <c r="X861" s="30">
        <v>0</v>
      </c>
    </row>
    <row r="862" spans="10:24" x14ac:dyDescent="0.25">
      <c r="J862">
        <v>854</v>
      </c>
      <c r="K862" s="30">
        <v>3022.0630361549934</v>
      </c>
      <c r="L862" s="30">
        <v>2661.8154301014092</v>
      </c>
      <c r="M862" s="30">
        <v>3209.6103067572458</v>
      </c>
      <c r="N862" s="30">
        <v>2042.8713534031631</v>
      </c>
      <c r="O862" s="30">
        <v>63.26443104846112</v>
      </c>
      <c r="P862" s="30">
        <v>-297.56595009995272</v>
      </c>
      <c r="R862">
        <v>854</v>
      </c>
      <c r="S862" s="30">
        <v>244.81841508336106</v>
      </c>
      <c r="T862" s="30">
        <v>261.21062455824432</v>
      </c>
      <c r="U862" s="30">
        <v>109.95447515038927</v>
      </c>
      <c r="V862" s="30">
        <v>70.292689603043982</v>
      </c>
      <c r="W862" s="30">
        <v>103.09853023141636</v>
      </c>
      <c r="X862" s="30">
        <v>0</v>
      </c>
    </row>
    <row r="863" spans="10:24" x14ac:dyDescent="0.25">
      <c r="J863">
        <v>855</v>
      </c>
      <c r="K863" s="30">
        <v>3879.8048843118459</v>
      </c>
      <c r="L863" s="30">
        <v>3504.6972846632298</v>
      </c>
      <c r="M863" s="30">
        <v>1907.2679641295636</v>
      </c>
      <c r="N863" s="30">
        <v>948.30891057498502</v>
      </c>
      <c r="O863" s="30">
        <v>2281.5211568275254</v>
      </c>
      <c r="P863" s="30">
        <v>-486.87779016643981</v>
      </c>
      <c r="R863">
        <v>855</v>
      </c>
      <c r="S863" s="30">
        <v>291.83864771870344</v>
      </c>
      <c r="T863" s="30">
        <v>411.04895280218966</v>
      </c>
      <c r="U863" s="30">
        <v>97.040747962413491</v>
      </c>
      <c r="V863" s="30">
        <v>120.13897468236758</v>
      </c>
      <c r="W863" s="30">
        <v>49.188520702513415</v>
      </c>
      <c r="X863" s="30">
        <v>0</v>
      </c>
    </row>
    <row r="864" spans="10:24" x14ac:dyDescent="0.25">
      <c r="J864">
        <v>856</v>
      </c>
      <c r="K864" s="30">
        <v>2000.3474431927625</v>
      </c>
      <c r="L864" s="30">
        <v>3986.1196718296937</v>
      </c>
      <c r="M864" s="30">
        <v>3858.1551641428355</v>
      </c>
      <c r="N864" s="30">
        <v>-1466.7873126886234</v>
      </c>
      <c r="O864" s="30">
        <v>1860.6150331573381</v>
      </c>
      <c r="P864" s="30">
        <v>-721.23690663987327</v>
      </c>
      <c r="R864">
        <v>856</v>
      </c>
      <c r="S864" s="30">
        <v>215.52926760102531</v>
      </c>
      <c r="T864" s="30">
        <v>392.66127136803289</v>
      </c>
      <c r="U864" s="30">
        <v>115.20920085961825</v>
      </c>
      <c r="V864" s="30">
        <v>0</v>
      </c>
      <c r="W864" s="30">
        <v>0</v>
      </c>
      <c r="X864" s="30">
        <v>0</v>
      </c>
    </row>
    <row r="865" spans="10:24" x14ac:dyDescent="0.25">
      <c r="J865">
        <v>857</v>
      </c>
      <c r="K865" s="30">
        <v>4413.9863250903054</v>
      </c>
      <c r="L865" s="30">
        <v>2314.7914041659005</v>
      </c>
      <c r="M865" s="30">
        <v>2066.6714035710456</v>
      </c>
      <c r="N865" s="30">
        <v>544.17247260115073</v>
      </c>
      <c r="O865" s="30">
        <v>833.37857505811735</v>
      </c>
      <c r="P865" s="30">
        <v>-1984.9743777709118</v>
      </c>
      <c r="R865">
        <v>857</v>
      </c>
      <c r="S865" s="30">
        <v>222.71049457166117</v>
      </c>
      <c r="T865" s="30">
        <v>237.09088407986366</v>
      </c>
      <c r="U865" s="30">
        <v>130.1249483501785</v>
      </c>
      <c r="V865" s="30">
        <v>216.02666695538903</v>
      </c>
      <c r="W865" s="30">
        <v>23.617317816191871</v>
      </c>
      <c r="X865" s="30">
        <v>0</v>
      </c>
    </row>
    <row r="866" spans="10:24" x14ac:dyDescent="0.25">
      <c r="J866">
        <v>858</v>
      </c>
      <c r="K866" s="30">
        <v>1959.159951209163</v>
      </c>
      <c r="L866" s="30">
        <v>3863.9882387477733</v>
      </c>
      <c r="M866" s="30">
        <v>3946.3463619818617</v>
      </c>
      <c r="N866" s="30">
        <v>1933.883279258609</v>
      </c>
      <c r="O866" s="30">
        <v>1001.560284251248</v>
      </c>
      <c r="P866" s="30">
        <v>-794.51560443640392</v>
      </c>
      <c r="R866">
        <v>858</v>
      </c>
      <c r="S866" s="30">
        <v>276.70697707855709</v>
      </c>
      <c r="T866" s="30">
        <v>395.9191605564971</v>
      </c>
      <c r="U866" s="30">
        <v>72.290929425962588</v>
      </c>
      <c r="V866" s="30">
        <v>0</v>
      </c>
      <c r="W866" s="30">
        <v>0</v>
      </c>
      <c r="X866" s="30">
        <v>0</v>
      </c>
    </row>
    <row r="867" spans="10:24" x14ac:dyDescent="0.25">
      <c r="J867">
        <v>859</v>
      </c>
      <c r="K867" s="30">
        <v>3155.3782089066099</v>
      </c>
      <c r="L867" s="30">
        <v>2158.8078279942165</v>
      </c>
      <c r="M867" s="30">
        <v>1229.4108582879276</v>
      </c>
      <c r="N867" s="30">
        <v>-22.502512937036954</v>
      </c>
      <c r="O867" s="30">
        <v>971.91080826642701</v>
      </c>
      <c r="P867" s="30">
        <v>565.36896300045373</v>
      </c>
      <c r="R867">
        <v>859</v>
      </c>
      <c r="S867" s="30">
        <v>283.19373147670592</v>
      </c>
      <c r="T867" s="30">
        <v>190.16121368403941</v>
      </c>
      <c r="U867" s="30">
        <v>150.36056971360279</v>
      </c>
      <c r="V867" s="30">
        <v>0</v>
      </c>
      <c r="W867" s="30">
        <v>0</v>
      </c>
      <c r="X867" s="30">
        <v>0</v>
      </c>
    </row>
    <row r="868" spans="10:24" x14ac:dyDescent="0.25">
      <c r="J868">
        <v>860</v>
      </c>
      <c r="K868" s="30">
        <v>3509.4409385301569</v>
      </c>
      <c r="L868" s="30">
        <v>2347.3192145215949</v>
      </c>
      <c r="M868" s="30">
        <v>3781.7358160810686</v>
      </c>
      <c r="N868" s="30">
        <v>1582.1132380502568</v>
      </c>
      <c r="O868" s="30">
        <v>2624.0490896046813</v>
      </c>
      <c r="P868" s="30">
        <v>-1390.1817952689207</v>
      </c>
      <c r="R868">
        <v>860</v>
      </c>
      <c r="S868" s="30">
        <v>189.9203055444986</v>
      </c>
      <c r="T868" s="30">
        <v>140.97876418409948</v>
      </c>
      <c r="U868" s="30">
        <v>231.17141442834975</v>
      </c>
      <c r="V868" s="30">
        <v>0</v>
      </c>
      <c r="W868" s="30">
        <v>0</v>
      </c>
      <c r="X868" s="30">
        <v>0</v>
      </c>
    </row>
    <row r="869" spans="10:24" x14ac:dyDescent="0.25">
      <c r="J869">
        <v>861</v>
      </c>
      <c r="K869" s="30">
        <v>2791.3050293944525</v>
      </c>
      <c r="L869" s="30">
        <v>2005.9552200222324</v>
      </c>
      <c r="M869" s="30">
        <v>2410.9567955142998</v>
      </c>
      <c r="N869" s="30">
        <v>841.42370579897761</v>
      </c>
      <c r="O869" s="30">
        <v>849.1501762360358</v>
      </c>
      <c r="P869" s="30">
        <v>53.088984007998079</v>
      </c>
      <c r="R869">
        <v>861</v>
      </c>
      <c r="S869" s="30">
        <v>144.58850975727626</v>
      </c>
      <c r="T869" s="30">
        <v>252.27720680258466</v>
      </c>
      <c r="U869" s="30">
        <v>187.06224340040387</v>
      </c>
      <c r="V869" s="30">
        <v>0</v>
      </c>
      <c r="W869" s="30">
        <v>0</v>
      </c>
      <c r="X869" s="30">
        <v>0</v>
      </c>
    </row>
    <row r="870" spans="10:24" x14ac:dyDescent="0.25">
      <c r="J870">
        <v>862</v>
      </c>
      <c r="K870" s="30">
        <v>4292.7197928576279</v>
      </c>
      <c r="L870" s="30">
        <v>4099.0412270473062</v>
      </c>
      <c r="M870" s="30">
        <v>2182.9038876834829</v>
      </c>
      <c r="N870" s="30">
        <v>-1655.2592358922248</v>
      </c>
      <c r="O870" s="30">
        <v>2545.2446741939157</v>
      </c>
      <c r="P870" s="30">
        <v>875.99185415591637</v>
      </c>
      <c r="R870">
        <v>862</v>
      </c>
      <c r="S870" s="30">
        <v>360.56778938863982</v>
      </c>
      <c r="T870" s="30">
        <v>240.88536083988805</v>
      </c>
      <c r="U870" s="30">
        <v>182.06754880196931</v>
      </c>
      <c r="V870" s="30">
        <v>75.972464335266523</v>
      </c>
      <c r="W870" s="30">
        <v>14.851797256087252</v>
      </c>
      <c r="X870" s="30">
        <v>0</v>
      </c>
    </row>
    <row r="871" spans="10:24" x14ac:dyDescent="0.25">
      <c r="J871">
        <v>863</v>
      </c>
      <c r="K871" s="30">
        <v>2120.4862233514027</v>
      </c>
      <c r="L871" s="30">
        <v>2558.2605966325041</v>
      </c>
      <c r="M871" s="30">
        <v>3546.6326533947431</v>
      </c>
      <c r="N871" s="30">
        <v>2379.945333040082</v>
      </c>
      <c r="O871" s="30">
        <v>889.74739055168357</v>
      </c>
      <c r="P871" s="30">
        <v>499.97791938237879</v>
      </c>
      <c r="R871">
        <v>863</v>
      </c>
      <c r="S871" s="30">
        <v>255.61126014789977</v>
      </c>
      <c r="T871" s="30">
        <v>251.66132170881127</v>
      </c>
      <c r="U871" s="30">
        <v>56.16623392548081</v>
      </c>
      <c r="V871" s="30">
        <v>0</v>
      </c>
      <c r="W871" s="30">
        <v>122.6574630216129</v>
      </c>
      <c r="X871" s="30">
        <v>0</v>
      </c>
    </row>
    <row r="872" spans="10:24" x14ac:dyDescent="0.25">
      <c r="J872">
        <v>864</v>
      </c>
      <c r="K872" s="30">
        <v>1996.0900417046778</v>
      </c>
      <c r="L872" s="30">
        <v>2424.5708922275899</v>
      </c>
      <c r="M872" s="30">
        <v>1682.5366492007224</v>
      </c>
      <c r="N872" s="30">
        <v>981.47654722028892</v>
      </c>
      <c r="O872" s="30">
        <v>-239.65083457784203</v>
      </c>
      <c r="P872" s="30">
        <v>-2045.4647130975154</v>
      </c>
      <c r="R872">
        <v>864</v>
      </c>
      <c r="S872" s="30">
        <v>212.9340241830372</v>
      </c>
      <c r="T872" s="30">
        <v>312.47037526460031</v>
      </c>
      <c r="U872" s="30">
        <v>87.897593423585079</v>
      </c>
      <c r="V872" s="30">
        <v>0</v>
      </c>
      <c r="W872" s="30">
        <v>11.738104409258881</v>
      </c>
      <c r="X872" s="30">
        <v>0</v>
      </c>
    </row>
    <row r="873" spans="10:24" x14ac:dyDescent="0.25">
      <c r="J873">
        <v>865</v>
      </c>
      <c r="K873" s="30">
        <v>1978.7967999310326</v>
      </c>
      <c r="L873" s="30">
        <v>2349.1874610518767</v>
      </c>
      <c r="M873" s="30">
        <v>2460.528030011782</v>
      </c>
      <c r="N873" s="30">
        <v>1676.351957691938</v>
      </c>
      <c r="O873" s="30">
        <v>1935.391620565325</v>
      </c>
      <c r="P873" s="30">
        <v>7.7555795943599151</v>
      </c>
      <c r="R873">
        <v>865</v>
      </c>
      <c r="S873" s="30">
        <v>318.69501313102933</v>
      </c>
      <c r="T873" s="30">
        <v>294.2648531901313</v>
      </c>
      <c r="U873" s="30">
        <v>180.74183544242578</v>
      </c>
      <c r="V873" s="30">
        <v>36.515680294607364</v>
      </c>
      <c r="W873" s="30">
        <v>0</v>
      </c>
      <c r="X873" s="30">
        <v>0</v>
      </c>
    </row>
    <row r="874" spans="10:24" x14ac:dyDescent="0.25">
      <c r="J874">
        <v>866</v>
      </c>
      <c r="K874" s="30">
        <v>2828.5636523047601</v>
      </c>
      <c r="L874" s="30">
        <v>1977.1124034143418</v>
      </c>
      <c r="M874" s="30">
        <v>1298.774074257266</v>
      </c>
      <c r="N874" s="30">
        <v>-473.5554987349451</v>
      </c>
      <c r="O874" s="30">
        <v>600.57818542050609</v>
      </c>
      <c r="P874" s="30">
        <v>-1118.7038253895944</v>
      </c>
      <c r="R874">
        <v>866</v>
      </c>
      <c r="S874" s="30">
        <v>223.82114667320258</v>
      </c>
      <c r="T874" s="30">
        <v>240.01812684067949</v>
      </c>
      <c r="U874" s="30">
        <v>179.31366932648945</v>
      </c>
      <c r="V874" s="30">
        <v>0</v>
      </c>
      <c r="W874" s="30">
        <v>0</v>
      </c>
      <c r="X874" s="30">
        <v>0</v>
      </c>
    </row>
    <row r="875" spans="10:24" x14ac:dyDescent="0.25">
      <c r="J875">
        <v>867</v>
      </c>
      <c r="K875" s="30">
        <v>2860.5554182438254</v>
      </c>
      <c r="L875" s="30">
        <v>3137.589905805542</v>
      </c>
      <c r="M875" s="30">
        <v>2757.1535969830311</v>
      </c>
      <c r="N875" s="30">
        <v>-866.58293731396316</v>
      </c>
      <c r="O875" s="30">
        <v>4658.9078855824582</v>
      </c>
      <c r="P875" s="30">
        <v>939.30843114653999</v>
      </c>
      <c r="R875">
        <v>867</v>
      </c>
      <c r="S875" s="30">
        <v>356.71137850440584</v>
      </c>
      <c r="T875" s="30">
        <v>275.70502540268643</v>
      </c>
      <c r="U875" s="30">
        <v>131.20777252176345</v>
      </c>
      <c r="V875" s="30">
        <v>0</v>
      </c>
      <c r="W875" s="30">
        <v>163.26936117242167</v>
      </c>
      <c r="X875" s="30">
        <v>0</v>
      </c>
    </row>
    <row r="876" spans="10:24" x14ac:dyDescent="0.25">
      <c r="J876">
        <v>868</v>
      </c>
      <c r="K876" s="30">
        <v>2479.017412422249</v>
      </c>
      <c r="L876" s="30">
        <v>3662.0269558811306</v>
      </c>
      <c r="M876" s="30">
        <v>2221.8539551832991</v>
      </c>
      <c r="N876" s="30">
        <v>1927.8031565065057</v>
      </c>
      <c r="O876" s="30">
        <v>2040.0949361737394</v>
      </c>
      <c r="P876" s="30">
        <v>-1310.8932858986063</v>
      </c>
      <c r="R876">
        <v>868</v>
      </c>
      <c r="S876" s="30">
        <v>171.46209000025351</v>
      </c>
      <c r="T876" s="30">
        <v>327.9078375067719</v>
      </c>
      <c r="U876" s="30">
        <v>126.01931312160769</v>
      </c>
      <c r="V876" s="30">
        <v>64.526960132762156</v>
      </c>
      <c r="W876" s="30">
        <v>71.118002426918906</v>
      </c>
      <c r="X876" s="30">
        <v>0</v>
      </c>
    </row>
    <row r="877" spans="10:24" x14ac:dyDescent="0.25">
      <c r="J877">
        <v>869</v>
      </c>
      <c r="K877" s="30">
        <v>2445.6990730553975</v>
      </c>
      <c r="L877" s="30">
        <v>3987.2845228251031</v>
      </c>
      <c r="M877" s="30">
        <v>1457.7075794704297</v>
      </c>
      <c r="N877" s="30">
        <v>-14.571471495315564</v>
      </c>
      <c r="O877" s="30">
        <v>1387.4421806818</v>
      </c>
      <c r="P877" s="30">
        <v>-2274.7161215807391</v>
      </c>
      <c r="R877">
        <v>869</v>
      </c>
      <c r="S877" s="30">
        <v>198.02777581417303</v>
      </c>
      <c r="T877" s="30">
        <v>326.10731733987507</v>
      </c>
      <c r="U877" s="30">
        <v>157.94496482341361</v>
      </c>
      <c r="V877" s="30">
        <v>72.775536367185737</v>
      </c>
      <c r="W877" s="30">
        <v>161.67958862358768</v>
      </c>
      <c r="X877" s="30">
        <v>32.814730264222533</v>
      </c>
    </row>
    <row r="878" spans="10:24" x14ac:dyDescent="0.25">
      <c r="J878">
        <v>870</v>
      </c>
      <c r="K878" s="30">
        <v>3111.6342284640696</v>
      </c>
      <c r="L878" s="30">
        <v>3165.4248198044461</v>
      </c>
      <c r="M878" s="30">
        <v>3418.9001809930178</v>
      </c>
      <c r="N878" s="30">
        <v>664.42584371170506</v>
      </c>
      <c r="O878" s="30">
        <v>1385.5576017001094</v>
      </c>
      <c r="P878" s="30">
        <v>-2337.1399028509004</v>
      </c>
      <c r="R878">
        <v>870</v>
      </c>
      <c r="S878" s="30">
        <v>188.38287883275348</v>
      </c>
      <c r="T878" s="30">
        <v>212.60607789468099</v>
      </c>
      <c r="U878" s="30">
        <v>89.645971853998162</v>
      </c>
      <c r="V878" s="30">
        <v>87.807394780815912</v>
      </c>
      <c r="W878" s="30">
        <v>0</v>
      </c>
      <c r="X878" s="30">
        <v>0</v>
      </c>
    </row>
    <row r="879" spans="10:24" x14ac:dyDescent="0.25">
      <c r="J879">
        <v>871</v>
      </c>
      <c r="K879" s="30">
        <v>2729.3583685773956</v>
      </c>
      <c r="L879" s="30">
        <v>2932.640655930988</v>
      </c>
      <c r="M879" s="30">
        <v>2351.7836133201704</v>
      </c>
      <c r="N879" s="30">
        <v>1461.0629404891524</v>
      </c>
      <c r="O879" s="30">
        <v>3159.407931289019</v>
      </c>
      <c r="P879" s="30">
        <v>-1767.8687865183483</v>
      </c>
      <c r="R879">
        <v>871</v>
      </c>
      <c r="S879" s="30">
        <v>252.56901444136417</v>
      </c>
      <c r="T879" s="30">
        <v>183.56521590255602</v>
      </c>
      <c r="U879" s="30">
        <v>154.99092819975669</v>
      </c>
      <c r="V879" s="30">
        <v>0</v>
      </c>
      <c r="W879" s="30">
        <v>0</v>
      </c>
      <c r="X879" s="30">
        <v>0</v>
      </c>
    </row>
    <row r="880" spans="10:24" x14ac:dyDescent="0.25">
      <c r="J880">
        <v>872</v>
      </c>
      <c r="K880" s="30">
        <v>2122.4161729233192</v>
      </c>
      <c r="L880" s="30">
        <v>3475.8670477457249</v>
      </c>
      <c r="M880" s="30">
        <v>3364.7975273265356</v>
      </c>
      <c r="N880" s="30">
        <v>-9.4664729227033604</v>
      </c>
      <c r="O880" s="30">
        <v>845.62045817504168</v>
      </c>
      <c r="P880" s="30">
        <v>-342.75632415738255</v>
      </c>
      <c r="R880">
        <v>872</v>
      </c>
      <c r="S880" s="30">
        <v>330.36086946340112</v>
      </c>
      <c r="T880" s="30">
        <v>251.52828028138435</v>
      </c>
      <c r="U880" s="30">
        <v>165.08121982953816</v>
      </c>
      <c r="V880" s="30">
        <v>0</v>
      </c>
      <c r="W880" s="30">
        <v>0</v>
      </c>
      <c r="X880" s="30">
        <v>0</v>
      </c>
    </row>
    <row r="881" spans="10:24" x14ac:dyDescent="0.25">
      <c r="J881">
        <v>873</v>
      </c>
      <c r="K881" s="30">
        <v>2762.223447057132</v>
      </c>
      <c r="L881" s="30">
        <v>2410.893127971523</v>
      </c>
      <c r="M881" s="30">
        <v>3601.9587962976589</v>
      </c>
      <c r="N881" s="30">
        <v>2295.7274538685688</v>
      </c>
      <c r="O881" s="30">
        <v>2698.6482092440983</v>
      </c>
      <c r="P881" s="30">
        <v>-275.71780122731616</v>
      </c>
      <c r="R881">
        <v>873</v>
      </c>
      <c r="S881" s="30">
        <v>182.97252943146412</v>
      </c>
      <c r="T881" s="30">
        <v>312.78433658581446</v>
      </c>
      <c r="U881" s="30">
        <v>225.24245580655423</v>
      </c>
      <c r="V881" s="30">
        <v>0</v>
      </c>
      <c r="W881" s="30">
        <v>0</v>
      </c>
      <c r="X881" s="30">
        <v>0</v>
      </c>
    </row>
    <row r="882" spans="10:24" x14ac:dyDescent="0.25">
      <c r="J882">
        <v>874</v>
      </c>
      <c r="K882" s="30">
        <v>2535.6582469044888</v>
      </c>
      <c r="L882" s="30">
        <v>4084.7920543344721</v>
      </c>
      <c r="M882" s="30">
        <v>1882.1029165949694</v>
      </c>
      <c r="N882" s="30">
        <v>1429.4902681913263</v>
      </c>
      <c r="O882" s="30">
        <v>800.3540380919676</v>
      </c>
      <c r="P882" s="30">
        <v>-2529.223733884045</v>
      </c>
      <c r="R882">
        <v>874</v>
      </c>
      <c r="S882" s="30">
        <v>335.36485371059263</v>
      </c>
      <c r="T882" s="30">
        <v>375.81063480070497</v>
      </c>
      <c r="U882" s="30">
        <v>183.95104716180896</v>
      </c>
      <c r="V882" s="30">
        <v>0</v>
      </c>
      <c r="W882" s="30">
        <v>106.63861457912139</v>
      </c>
      <c r="X882" s="30">
        <v>0.27126596682671789</v>
      </c>
    </row>
    <row r="883" spans="10:24" x14ac:dyDescent="0.25">
      <c r="J883">
        <v>875</v>
      </c>
      <c r="K883" s="30">
        <v>2413.2077517723033</v>
      </c>
      <c r="L883" s="30">
        <v>2174.151520229068</v>
      </c>
      <c r="M883" s="30">
        <v>2326.8116646882213</v>
      </c>
      <c r="N883" s="30">
        <v>2258.4755827604395</v>
      </c>
      <c r="O883" s="30">
        <v>1430.682239842924</v>
      </c>
      <c r="P883" s="30">
        <v>-1824.379872625831</v>
      </c>
      <c r="R883">
        <v>875</v>
      </c>
      <c r="S883" s="30">
        <v>251.81715923287288</v>
      </c>
      <c r="T883" s="30">
        <v>235.07117089664104</v>
      </c>
      <c r="U883" s="30">
        <v>192.31065147584684</v>
      </c>
      <c r="V883" s="30">
        <v>0</v>
      </c>
      <c r="W883" s="30">
        <v>0</v>
      </c>
      <c r="X883" s="30">
        <v>0</v>
      </c>
    </row>
    <row r="884" spans="10:24" x14ac:dyDescent="0.25">
      <c r="J884">
        <v>876</v>
      </c>
      <c r="K884" s="30">
        <v>3239.4646575402385</v>
      </c>
      <c r="L884" s="30">
        <v>2153.1211482033391</v>
      </c>
      <c r="M884" s="30">
        <v>2088.0779270128828</v>
      </c>
      <c r="N884" s="30">
        <v>-625.09693229138429</v>
      </c>
      <c r="O884" s="30">
        <v>4308.6801718138613</v>
      </c>
      <c r="P884" s="30">
        <v>1037.3845287095255</v>
      </c>
      <c r="R884">
        <v>876</v>
      </c>
      <c r="S884" s="30">
        <v>333.34126889411704</v>
      </c>
      <c r="T884" s="30">
        <v>293.91098143103386</v>
      </c>
      <c r="U884" s="30">
        <v>191.04768397287961</v>
      </c>
      <c r="V884" s="30">
        <v>98.203778345786304</v>
      </c>
      <c r="W884" s="30">
        <v>33.301297590165404</v>
      </c>
      <c r="X884" s="30">
        <v>0</v>
      </c>
    </row>
    <row r="885" spans="10:24" x14ac:dyDescent="0.25">
      <c r="J885">
        <v>877</v>
      </c>
      <c r="K885" s="30">
        <v>2752.4992006353104</v>
      </c>
      <c r="L885" s="30">
        <v>3000.877182198637</v>
      </c>
      <c r="M885" s="30">
        <v>2352.7675684236656</v>
      </c>
      <c r="N885" s="30">
        <v>-653.98952042582823</v>
      </c>
      <c r="O885" s="30">
        <v>224.45081119343195</v>
      </c>
      <c r="P885" s="30">
        <v>-1703.7356579402904</v>
      </c>
      <c r="R885">
        <v>877</v>
      </c>
      <c r="S885" s="30">
        <v>129.61772189027943</v>
      </c>
      <c r="T885" s="30">
        <v>216.59326529919616</v>
      </c>
      <c r="U885" s="30">
        <v>217.34458887452877</v>
      </c>
      <c r="V885" s="30">
        <v>103.16230709968295</v>
      </c>
      <c r="W885" s="30">
        <v>0</v>
      </c>
      <c r="X885" s="30">
        <v>0</v>
      </c>
    </row>
    <row r="886" spans="10:24" x14ac:dyDescent="0.25">
      <c r="J886">
        <v>878</v>
      </c>
      <c r="K886" s="30">
        <v>2590.8091494198698</v>
      </c>
      <c r="L886" s="30">
        <v>1940.9674817737109</v>
      </c>
      <c r="M886" s="30">
        <v>2128.8057126390436</v>
      </c>
      <c r="N886" s="30">
        <v>1045.1891004707122</v>
      </c>
      <c r="O886" s="30">
        <v>923.72357129531974</v>
      </c>
      <c r="P886" s="30">
        <v>-745.88435963963184</v>
      </c>
      <c r="R886">
        <v>878</v>
      </c>
      <c r="S886" s="30">
        <v>184.67930580252664</v>
      </c>
      <c r="T886" s="30">
        <v>370.73982690997474</v>
      </c>
      <c r="U886" s="30">
        <v>78.446703656591865</v>
      </c>
      <c r="V886" s="30">
        <v>0</v>
      </c>
      <c r="W886" s="30">
        <v>199.39637555132987</v>
      </c>
      <c r="X886" s="30">
        <v>0</v>
      </c>
    </row>
    <row r="887" spans="10:24" x14ac:dyDescent="0.25">
      <c r="J887">
        <v>879</v>
      </c>
      <c r="K887" s="30">
        <v>3974.1677656988732</v>
      </c>
      <c r="L887" s="30">
        <v>2303.802522792485</v>
      </c>
      <c r="M887" s="30">
        <v>3965.4361944467573</v>
      </c>
      <c r="N887" s="30">
        <v>2695.192573960705</v>
      </c>
      <c r="O887" s="30">
        <v>350.5480241902269</v>
      </c>
      <c r="P887" s="30">
        <v>-471.10263536522143</v>
      </c>
      <c r="R887">
        <v>879</v>
      </c>
      <c r="S887" s="30">
        <v>275.61420207105073</v>
      </c>
      <c r="T887" s="30">
        <v>298.83418885657744</v>
      </c>
      <c r="U887" s="30">
        <v>128.78623100240128</v>
      </c>
      <c r="V887" s="30">
        <v>55.270469499715887</v>
      </c>
      <c r="W887" s="30">
        <v>0</v>
      </c>
      <c r="X887" s="30">
        <v>0</v>
      </c>
    </row>
    <row r="888" spans="10:24" x14ac:dyDescent="0.25">
      <c r="J888">
        <v>880</v>
      </c>
      <c r="K888" s="30">
        <v>2520.5679643545886</v>
      </c>
      <c r="L888" s="30">
        <v>3231.7349107714517</v>
      </c>
      <c r="M888" s="30">
        <v>3664.3171052778321</v>
      </c>
      <c r="N888" s="30">
        <v>-7.322063638115651</v>
      </c>
      <c r="O888" s="30">
        <v>322.31628961437946</v>
      </c>
      <c r="P888" s="30">
        <v>1119.6524047617995</v>
      </c>
      <c r="R888">
        <v>880</v>
      </c>
      <c r="S888" s="30">
        <v>274.26750368545231</v>
      </c>
      <c r="T888" s="30">
        <v>170.90154141494611</v>
      </c>
      <c r="U888" s="30">
        <v>183.33011664727167</v>
      </c>
      <c r="V888" s="30">
        <v>0</v>
      </c>
      <c r="W888" s="30">
        <v>48.1503489098518</v>
      </c>
      <c r="X888" s="30">
        <v>0</v>
      </c>
    </row>
    <row r="889" spans="10:24" x14ac:dyDescent="0.25">
      <c r="J889">
        <v>881</v>
      </c>
      <c r="K889" s="30">
        <v>2695.3496397229878</v>
      </c>
      <c r="L889" s="30">
        <v>2816.7649023813237</v>
      </c>
      <c r="M889" s="30">
        <v>3900.2638929029081</v>
      </c>
      <c r="N889" s="30">
        <v>-926.96910225130523</v>
      </c>
      <c r="O889" s="30">
        <v>1370.4098249354774</v>
      </c>
      <c r="P889" s="30">
        <v>-1413.8062758365641</v>
      </c>
      <c r="R889">
        <v>881</v>
      </c>
      <c r="S889" s="30">
        <v>221.43499680011388</v>
      </c>
      <c r="T889" s="30">
        <v>286.67962170629153</v>
      </c>
      <c r="U889" s="30">
        <v>174.37166253388932</v>
      </c>
      <c r="V889" s="30">
        <v>0</v>
      </c>
      <c r="W889" s="30">
        <v>0</v>
      </c>
      <c r="X889" s="30">
        <v>0</v>
      </c>
    </row>
    <row r="890" spans="10:24" x14ac:dyDescent="0.25">
      <c r="J890">
        <v>882</v>
      </c>
      <c r="K890" s="30">
        <v>1886.5193334895794</v>
      </c>
      <c r="L890" s="30">
        <v>3861.1686631750085</v>
      </c>
      <c r="M890" s="30">
        <v>2363.9988699516321</v>
      </c>
      <c r="N890" s="30">
        <v>-701.55665866089475</v>
      </c>
      <c r="O890" s="30">
        <v>1025.6990358781459</v>
      </c>
      <c r="P890" s="30">
        <v>-384.0604177294299</v>
      </c>
      <c r="R890">
        <v>882</v>
      </c>
      <c r="S890" s="30">
        <v>268.01944972330188</v>
      </c>
      <c r="T890" s="30">
        <v>348.57126781027512</v>
      </c>
      <c r="U890" s="30">
        <v>160.93407965991997</v>
      </c>
      <c r="V890" s="30">
        <v>0</v>
      </c>
      <c r="W890" s="30">
        <v>52.579273592193999</v>
      </c>
      <c r="X890" s="30">
        <v>0</v>
      </c>
    </row>
    <row r="891" spans="10:24" x14ac:dyDescent="0.25">
      <c r="J891">
        <v>883</v>
      </c>
      <c r="K891" s="30">
        <v>3434.0496483803354</v>
      </c>
      <c r="L891" s="30">
        <v>2410.8238761559687</v>
      </c>
      <c r="M891" s="30">
        <v>1476.1343225618007</v>
      </c>
      <c r="N891" s="30">
        <v>-380.77008957141061</v>
      </c>
      <c r="O891" s="30">
        <v>-147.43104573173332</v>
      </c>
      <c r="P891" s="30">
        <v>-1071.8541984754038</v>
      </c>
      <c r="R891">
        <v>883</v>
      </c>
      <c r="S891" s="30">
        <v>232.54278462773402</v>
      </c>
      <c r="T891" s="30">
        <v>347.08038544086031</v>
      </c>
      <c r="U891" s="30">
        <v>145.02423978038127</v>
      </c>
      <c r="V891" s="30">
        <v>0</v>
      </c>
      <c r="W891" s="30">
        <v>0</v>
      </c>
      <c r="X891" s="30">
        <v>0</v>
      </c>
    </row>
    <row r="892" spans="10:24" x14ac:dyDescent="0.25">
      <c r="J892">
        <v>884</v>
      </c>
      <c r="K892" s="30">
        <v>2812.868659435263</v>
      </c>
      <c r="L892" s="30">
        <v>3139.9151361507506</v>
      </c>
      <c r="M892" s="30">
        <v>3417.8964621541681</v>
      </c>
      <c r="N892" s="30">
        <v>2973.8011470405672</v>
      </c>
      <c r="O892" s="30">
        <v>1924.4251520368562</v>
      </c>
      <c r="P892" s="30">
        <v>-608.30557157847579</v>
      </c>
      <c r="R892">
        <v>884</v>
      </c>
      <c r="S892" s="30">
        <v>259.75648957917031</v>
      </c>
      <c r="T892" s="30">
        <v>182.55929910625747</v>
      </c>
      <c r="U892" s="30">
        <v>188.42372796966259</v>
      </c>
      <c r="V892" s="30">
        <v>0</v>
      </c>
      <c r="W892" s="30">
        <v>0</v>
      </c>
      <c r="X892" s="30">
        <v>0</v>
      </c>
    </row>
    <row r="893" spans="10:24" x14ac:dyDescent="0.25">
      <c r="J893">
        <v>885</v>
      </c>
      <c r="K893" s="30">
        <v>2688.098961744271</v>
      </c>
      <c r="L893" s="30">
        <v>2762.9151931914703</v>
      </c>
      <c r="M893" s="30">
        <v>2181.8574440843818</v>
      </c>
      <c r="N893" s="30">
        <v>1766.9230809626952</v>
      </c>
      <c r="O893" s="30">
        <v>289.43363005530045</v>
      </c>
      <c r="P893" s="30">
        <v>-878.69162957820572</v>
      </c>
      <c r="R893">
        <v>885</v>
      </c>
      <c r="S893" s="30">
        <v>298.60483274078797</v>
      </c>
      <c r="T893" s="30">
        <v>354.24511303158965</v>
      </c>
      <c r="U893" s="30">
        <v>162.76735908215943</v>
      </c>
      <c r="V893" s="30">
        <v>0</v>
      </c>
      <c r="W893" s="30">
        <v>0</v>
      </c>
      <c r="X893" s="30">
        <v>0</v>
      </c>
    </row>
    <row r="894" spans="10:24" x14ac:dyDescent="0.25">
      <c r="J894">
        <v>886</v>
      </c>
      <c r="K894" s="30">
        <v>3895.2860212290748</v>
      </c>
      <c r="L894" s="30">
        <v>3618.3793228583772</v>
      </c>
      <c r="M894" s="30">
        <v>1992.291816682864</v>
      </c>
      <c r="N894" s="30">
        <v>2750.8898401670576</v>
      </c>
      <c r="O894" s="30">
        <v>-1990.0404292263011</v>
      </c>
      <c r="P894" s="30">
        <v>-1921.2459805528561</v>
      </c>
      <c r="R894">
        <v>886</v>
      </c>
      <c r="S894" s="30">
        <v>215.46030968725006</v>
      </c>
      <c r="T894" s="30">
        <v>271.43017835940321</v>
      </c>
      <c r="U894" s="30">
        <v>146.454248081461</v>
      </c>
      <c r="V894" s="30">
        <v>0</v>
      </c>
      <c r="W894" s="30">
        <v>0</v>
      </c>
      <c r="X894" s="30">
        <v>28.465764753087115</v>
      </c>
    </row>
    <row r="895" spans="10:24" x14ac:dyDescent="0.25">
      <c r="J895">
        <v>887</v>
      </c>
      <c r="K895" s="30">
        <v>2840.1326186800202</v>
      </c>
      <c r="L895" s="30">
        <v>3850.0981885796054</v>
      </c>
      <c r="M895" s="30">
        <v>2441.1249956743081</v>
      </c>
      <c r="N895" s="30">
        <v>-393.80657150621937</v>
      </c>
      <c r="O895" s="30">
        <v>-672.29751669795041</v>
      </c>
      <c r="P895" s="30">
        <v>-2037.5153212209862</v>
      </c>
      <c r="R895">
        <v>887</v>
      </c>
      <c r="S895" s="30">
        <v>249.09236282826339</v>
      </c>
      <c r="T895" s="30">
        <v>297.01510734805754</v>
      </c>
      <c r="U895" s="30">
        <v>61.537766422776201</v>
      </c>
      <c r="V895" s="30">
        <v>0</v>
      </c>
      <c r="W895" s="30">
        <v>0</v>
      </c>
      <c r="X895" s="30">
        <v>0</v>
      </c>
    </row>
    <row r="896" spans="10:24" x14ac:dyDescent="0.25">
      <c r="J896">
        <v>888</v>
      </c>
      <c r="K896" s="30">
        <v>4058.2111424367217</v>
      </c>
      <c r="L896" s="30">
        <v>2601.8762628985132</v>
      </c>
      <c r="M896" s="30">
        <v>2001.145499674486</v>
      </c>
      <c r="N896" s="30">
        <v>-1312.6716253838049</v>
      </c>
      <c r="O896" s="30">
        <v>715.95182374794422</v>
      </c>
      <c r="P896" s="30">
        <v>-3136.6336747561118</v>
      </c>
      <c r="R896">
        <v>888</v>
      </c>
      <c r="S896" s="30">
        <v>286.08058012947663</v>
      </c>
      <c r="T896" s="30">
        <v>392.06828009446332</v>
      </c>
      <c r="U896" s="30">
        <v>282.63052867837251</v>
      </c>
      <c r="V896" s="30">
        <v>81.443205848162165</v>
      </c>
      <c r="W896" s="30">
        <v>0</v>
      </c>
      <c r="X896" s="30">
        <v>0</v>
      </c>
    </row>
    <row r="897" spans="10:24" x14ac:dyDescent="0.25">
      <c r="J897">
        <v>889</v>
      </c>
      <c r="K897" s="30">
        <v>2501.6178228330314</v>
      </c>
      <c r="L897" s="30">
        <v>4191.9294539722396</v>
      </c>
      <c r="M897" s="30">
        <v>4025.5612776720909</v>
      </c>
      <c r="N897" s="30">
        <v>127.82373137292416</v>
      </c>
      <c r="O897" s="30">
        <v>526.04889570539945</v>
      </c>
      <c r="P897" s="30">
        <v>-1398.7681749577605</v>
      </c>
      <c r="R897">
        <v>889</v>
      </c>
      <c r="S897" s="30">
        <v>231.08605075116185</v>
      </c>
      <c r="T897" s="30">
        <v>323.83903508002737</v>
      </c>
      <c r="U897" s="30">
        <v>92.956060974451702</v>
      </c>
      <c r="V897" s="30">
        <v>28.525993358863957</v>
      </c>
      <c r="W897" s="30">
        <v>0</v>
      </c>
      <c r="X897" s="30">
        <v>0</v>
      </c>
    </row>
    <row r="898" spans="10:24" x14ac:dyDescent="0.25">
      <c r="J898">
        <v>890</v>
      </c>
      <c r="K898" s="30">
        <v>4355.3171075735108</v>
      </c>
      <c r="L898" s="30">
        <v>2916.8567477700035</v>
      </c>
      <c r="M898" s="30">
        <v>2666.6139139036122</v>
      </c>
      <c r="N898" s="30">
        <v>-237.08733467654929</v>
      </c>
      <c r="O898" s="30">
        <v>482.51258541432617</v>
      </c>
      <c r="P898" s="30">
        <v>-1254.4826674991355</v>
      </c>
      <c r="R898">
        <v>890</v>
      </c>
      <c r="S898" s="30">
        <v>391.53774543547013</v>
      </c>
      <c r="T898" s="30">
        <v>424.61378505931634</v>
      </c>
      <c r="U898" s="30">
        <v>241.02203755374785</v>
      </c>
      <c r="V898" s="30">
        <v>0</v>
      </c>
      <c r="W898" s="30">
        <v>0</v>
      </c>
      <c r="X898" s="30">
        <v>0</v>
      </c>
    </row>
    <row r="899" spans="10:24" x14ac:dyDescent="0.25">
      <c r="J899">
        <v>891</v>
      </c>
      <c r="K899" s="30">
        <v>4193.0236297765605</v>
      </c>
      <c r="L899" s="30">
        <v>2983.816131078298</v>
      </c>
      <c r="M899" s="30">
        <v>2659.5771316694872</v>
      </c>
      <c r="N899" s="30">
        <v>581.83060239303268</v>
      </c>
      <c r="O899" s="30">
        <v>2101.580982132039</v>
      </c>
      <c r="P899" s="30">
        <v>12.268025024603958</v>
      </c>
      <c r="R899">
        <v>891</v>
      </c>
      <c r="S899" s="30">
        <v>320.12426344506514</v>
      </c>
      <c r="T899" s="30">
        <v>412.50426915061394</v>
      </c>
      <c r="U899" s="30">
        <v>0</v>
      </c>
      <c r="V899" s="30">
        <v>0</v>
      </c>
      <c r="W899" s="30">
        <v>0</v>
      </c>
      <c r="X899" s="30">
        <v>0</v>
      </c>
    </row>
    <row r="900" spans="10:24" x14ac:dyDescent="0.25">
      <c r="J900">
        <v>892</v>
      </c>
      <c r="K900" s="30">
        <v>2275.3936198177471</v>
      </c>
      <c r="L900" s="30">
        <v>1810.8762051015606</v>
      </c>
      <c r="M900" s="30">
        <v>2928.233740663115</v>
      </c>
      <c r="N900" s="30">
        <v>-971.83094216956124</v>
      </c>
      <c r="O900" s="30">
        <v>428.11367059335316</v>
      </c>
      <c r="P900" s="30">
        <v>-853.70303507091648</v>
      </c>
      <c r="R900">
        <v>892</v>
      </c>
      <c r="S900" s="30">
        <v>227.60169546643817</v>
      </c>
      <c r="T900" s="30">
        <v>252.24924773702395</v>
      </c>
      <c r="U900" s="30">
        <v>125.54244389253751</v>
      </c>
      <c r="V900" s="30">
        <v>14.240314911325527</v>
      </c>
      <c r="W900" s="30">
        <v>0</v>
      </c>
      <c r="X900" s="30">
        <v>0</v>
      </c>
    </row>
    <row r="901" spans="10:24" x14ac:dyDescent="0.25">
      <c r="J901">
        <v>893</v>
      </c>
      <c r="K901" s="30">
        <v>2985.350015859739</v>
      </c>
      <c r="L901" s="30">
        <v>2000.1081025339681</v>
      </c>
      <c r="M901" s="30">
        <v>2396.2676009283614</v>
      </c>
      <c r="N901" s="30">
        <v>385.94251670476388</v>
      </c>
      <c r="O901" s="30">
        <v>786.02580416736237</v>
      </c>
      <c r="P901" s="30">
        <v>244.9063261539568</v>
      </c>
      <c r="R901">
        <v>893</v>
      </c>
      <c r="S901" s="30">
        <v>189.80183766986607</v>
      </c>
      <c r="T901" s="30">
        <v>216.86556701934057</v>
      </c>
      <c r="U901" s="30">
        <v>251.63659109732657</v>
      </c>
      <c r="V901" s="30">
        <v>0</v>
      </c>
      <c r="W901" s="30">
        <v>36.642922530721876</v>
      </c>
      <c r="X901" s="30">
        <v>0</v>
      </c>
    </row>
    <row r="902" spans="10:24" x14ac:dyDescent="0.25">
      <c r="J902">
        <v>894</v>
      </c>
      <c r="K902" s="30">
        <v>4106.7645175247089</v>
      </c>
      <c r="L902" s="30">
        <v>2087.0206263424793</v>
      </c>
      <c r="M902" s="30">
        <v>852.74112734083064</v>
      </c>
      <c r="N902" s="30">
        <v>1214.8719339023619</v>
      </c>
      <c r="O902" s="30">
        <v>1808.7690059596571</v>
      </c>
      <c r="P902" s="30">
        <v>548.47164752311255</v>
      </c>
      <c r="R902">
        <v>894</v>
      </c>
      <c r="S902" s="30">
        <v>228.99378158935821</v>
      </c>
      <c r="T902" s="30">
        <v>294.23326351677281</v>
      </c>
      <c r="U902" s="30">
        <v>246.346076523996</v>
      </c>
      <c r="V902" s="30">
        <v>0</v>
      </c>
      <c r="W902" s="30">
        <v>108.8719131328595</v>
      </c>
      <c r="X902" s="30">
        <v>0</v>
      </c>
    </row>
    <row r="903" spans="10:24" x14ac:dyDescent="0.25">
      <c r="J903">
        <v>895</v>
      </c>
      <c r="K903" s="30">
        <v>3986.0947987191785</v>
      </c>
      <c r="L903" s="30">
        <v>2544.6010006116467</v>
      </c>
      <c r="M903" s="30">
        <v>2054.497708853803</v>
      </c>
      <c r="N903" s="30">
        <v>1214.0041560679338</v>
      </c>
      <c r="O903" s="30">
        <v>2062.8471277936587</v>
      </c>
      <c r="P903" s="30">
        <v>-2095.619848906681</v>
      </c>
      <c r="R903">
        <v>895</v>
      </c>
      <c r="S903" s="30">
        <v>166.807114213972</v>
      </c>
      <c r="T903" s="30">
        <v>185.38133783104729</v>
      </c>
      <c r="U903" s="30">
        <v>242.26995221853383</v>
      </c>
      <c r="V903" s="30">
        <v>10.723103763269137</v>
      </c>
      <c r="W903" s="30">
        <v>0</v>
      </c>
      <c r="X903" s="30">
        <v>0</v>
      </c>
    </row>
    <row r="904" spans="10:24" x14ac:dyDescent="0.25">
      <c r="J904">
        <v>896</v>
      </c>
      <c r="K904" s="30">
        <v>2494.5332679207986</v>
      </c>
      <c r="L904" s="30">
        <v>4039.7593763676455</v>
      </c>
      <c r="M904" s="30">
        <v>3657.8654003046272</v>
      </c>
      <c r="N904" s="30">
        <v>401.85205049187516</v>
      </c>
      <c r="O904" s="30">
        <v>2211.4075176733641</v>
      </c>
      <c r="P904" s="30">
        <v>-1344.5945275911236</v>
      </c>
      <c r="R904">
        <v>896</v>
      </c>
      <c r="S904" s="30">
        <v>277.21623590227614</v>
      </c>
      <c r="T904" s="30">
        <v>195.67390770105794</v>
      </c>
      <c r="U904" s="30">
        <v>60.070044918588735</v>
      </c>
      <c r="V904" s="30">
        <v>43.152629019515643</v>
      </c>
      <c r="W904" s="30">
        <v>0</v>
      </c>
      <c r="X904" s="30">
        <v>0</v>
      </c>
    </row>
    <row r="905" spans="10:24" x14ac:dyDescent="0.25">
      <c r="J905">
        <v>897</v>
      </c>
      <c r="K905" s="30">
        <v>1867.7840305889458</v>
      </c>
      <c r="L905" s="30">
        <v>1712.5092114654708</v>
      </c>
      <c r="M905" s="30">
        <v>1834.5633360756774</v>
      </c>
      <c r="N905" s="30">
        <v>888.28079525083103</v>
      </c>
      <c r="O905" s="30">
        <v>1080.7154132892556</v>
      </c>
      <c r="P905" s="30">
        <v>-1872.9218146181784</v>
      </c>
      <c r="R905">
        <v>897</v>
      </c>
      <c r="S905" s="30">
        <v>293.0791116206434</v>
      </c>
      <c r="T905" s="30">
        <v>209.401736589243</v>
      </c>
      <c r="U905" s="30">
        <v>118.91054099064939</v>
      </c>
      <c r="V905" s="30">
        <v>25.421291197729886</v>
      </c>
      <c r="W905" s="30">
        <v>140.20161539952545</v>
      </c>
      <c r="X905" s="30">
        <v>0</v>
      </c>
    </row>
    <row r="906" spans="10:24" x14ac:dyDescent="0.25">
      <c r="J906">
        <v>898</v>
      </c>
      <c r="K906" s="30">
        <v>4003.9473223991899</v>
      </c>
      <c r="L906" s="30">
        <v>4333.3955478983835</v>
      </c>
      <c r="M906" s="30">
        <v>3465.6048838014094</v>
      </c>
      <c r="N906" s="30">
        <v>-171.27811790322994</v>
      </c>
      <c r="O906" s="30">
        <v>2315.5110241036618</v>
      </c>
      <c r="P906" s="30">
        <v>1415.3526075553527</v>
      </c>
      <c r="R906">
        <v>898</v>
      </c>
      <c r="S906" s="30">
        <v>281.30799874258315</v>
      </c>
      <c r="T906" s="30">
        <v>272.15225011506215</v>
      </c>
      <c r="U906" s="30">
        <v>174.79134507235869</v>
      </c>
      <c r="V906" s="30">
        <v>15.23281673308793</v>
      </c>
      <c r="W906" s="30">
        <v>0</v>
      </c>
      <c r="X906" s="30">
        <v>0</v>
      </c>
    </row>
    <row r="907" spans="10:24" x14ac:dyDescent="0.25">
      <c r="J907">
        <v>899</v>
      </c>
      <c r="K907" s="30">
        <v>2673.1920472833117</v>
      </c>
      <c r="L907" s="30">
        <v>4131.9444097213263</v>
      </c>
      <c r="M907" s="30">
        <v>2743.5454755033634</v>
      </c>
      <c r="N907" s="30">
        <v>-748.30206265111428</v>
      </c>
      <c r="O907" s="30">
        <v>725.06588318840295</v>
      </c>
      <c r="P907" s="30">
        <v>-3183.5563477991082</v>
      </c>
      <c r="R907">
        <v>899</v>
      </c>
      <c r="S907" s="30">
        <v>245.7586087365832</v>
      </c>
      <c r="T907" s="30">
        <v>250.34850991029697</v>
      </c>
      <c r="U907" s="30">
        <v>161.03717975057975</v>
      </c>
      <c r="V907" s="30">
        <v>0</v>
      </c>
      <c r="W907" s="30">
        <v>0</v>
      </c>
      <c r="X907" s="30">
        <v>0</v>
      </c>
    </row>
    <row r="908" spans="10:24" x14ac:dyDescent="0.25">
      <c r="J908">
        <v>900</v>
      </c>
      <c r="K908" s="30">
        <v>4135.0297599424102</v>
      </c>
      <c r="L908" s="30">
        <v>2707.532283017842</v>
      </c>
      <c r="M908" s="30">
        <v>2479.1628993888767</v>
      </c>
      <c r="N908" s="30">
        <v>1737.2735521016239</v>
      </c>
      <c r="O908" s="30">
        <v>940.86873830477361</v>
      </c>
      <c r="P908" s="30">
        <v>-1002.2907449086961</v>
      </c>
      <c r="R908">
        <v>900</v>
      </c>
      <c r="S908" s="30">
        <v>127.70425284693511</v>
      </c>
      <c r="T908" s="30">
        <v>270.68721468838169</v>
      </c>
      <c r="U908" s="30">
        <v>280.07512369504252</v>
      </c>
      <c r="V908" s="30">
        <v>92.883321534261256</v>
      </c>
      <c r="W908" s="30">
        <v>0</v>
      </c>
      <c r="X908" s="30">
        <v>0</v>
      </c>
    </row>
    <row r="909" spans="10:24" x14ac:dyDescent="0.25">
      <c r="J909">
        <v>901</v>
      </c>
      <c r="K909" s="30">
        <v>4087.2178584703897</v>
      </c>
      <c r="L909" s="30">
        <v>3208.0140749784587</v>
      </c>
      <c r="M909" s="30">
        <v>2345.4961695697575</v>
      </c>
      <c r="N909" s="30">
        <v>372.61398797857601</v>
      </c>
      <c r="O909" s="30">
        <v>2759.7346289498219</v>
      </c>
      <c r="P909" s="30">
        <v>-231.89121076626725</v>
      </c>
      <c r="R909">
        <v>901</v>
      </c>
      <c r="S909" s="30">
        <v>327.60299138888695</v>
      </c>
      <c r="T909" s="30">
        <v>240.03280711278882</v>
      </c>
      <c r="U909" s="30">
        <v>193.67646765739579</v>
      </c>
      <c r="V909" s="30">
        <v>0</v>
      </c>
      <c r="W909" s="30">
        <v>0</v>
      </c>
      <c r="X909" s="30">
        <v>0</v>
      </c>
    </row>
    <row r="910" spans="10:24" x14ac:dyDescent="0.25">
      <c r="J910">
        <v>902</v>
      </c>
      <c r="K910" s="30">
        <v>2117.558259410644</v>
      </c>
      <c r="L910" s="30">
        <v>2803.6850146566444</v>
      </c>
      <c r="M910" s="30">
        <v>1627.895250316717</v>
      </c>
      <c r="N910" s="30">
        <v>-1229.9952816418554</v>
      </c>
      <c r="O910" s="30">
        <v>2199.5528367081943</v>
      </c>
      <c r="P910" s="30">
        <v>-2395.198317845965</v>
      </c>
      <c r="R910">
        <v>902</v>
      </c>
      <c r="S910" s="30">
        <v>312.23271234725905</v>
      </c>
      <c r="T910" s="30">
        <v>279.5548567563751</v>
      </c>
      <c r="U910" s="30">
        <v>0</v>
      </c>
      <c r="V910" s="30">
        <v>36.042189936878231</v>
      </c>
      <c r="W910" s="30">
        <v>13.229452308149121</v>
      </c>
      <c r="X910" s="30">
        <v>0</v>
      </c>
    </row>
    <row r="911" spans="10:24" x14ac:dyDescent="0.25">
      <c r="J911">
        <v>903</v>
      </c>
      <c r="K911" s="30">
        <v>2324.4922557509067</v>
      </c>
      <c r="L911" s="30">
        <v>2815.3177441474595</v>
      </c>
      <c r="M911" s="30">
        <v>2048.6188940143425</v>
      </c>
      <c r="N911" s="30">
        <v>1489.5173959603671</v>
      </c>
      <c r="O911" s="30">
        <v>1849.2780373472378</v>
      </c>
      <c r="P911" s="30">
        <v>-522.60730953899838</v>
      </c>
      <c r="R911">
        <v>903</v>
      </c>
      <c r="S911" s="30">
        <v>222.00189911994875</v>
      </c>
      <c r="T911" s="30">
        <v>384.83110437547793</v>
      </c>
      <c r="U911" s="30">
        <v>79.155183852552454</v>
      </c>
      <c r="V911" s="30">
        <v>0</v>
      </c>
      <c r="W911" s="30">
        <v>113.74874291412721</v>
      </c>
      <c r="X911" s="30">
        <v>0</v>
      </c>
    </row>
    <row r="912" spans="10:24" x14ac:dyDescent="0.25">
      <c r="J912">
        <v>904</v>
      </c>
      <c r="K912" s="30">
        <v>2369.4496856797</v>
      </c>
      <c r="L912" s="30">
        <v>2634.7471620485894</v>
      </c>
      <c r="M912" s="30">
        <v>2371.4236162179791</v>
      </c>
      <c r="N912" s="30">
        <v>372.00435225063302</v>
      </c>
      <c r="O912" s="30">
        <v>1622.3126533901386</v>
      </c>
      <c r="P912" s="30">
        <v>-1632.6432443805106</v>
      </c>
      <c r="R912">
        <v>904</v>
      </c>
      <c r="S912" s="30">
        <v>217.06615365719347</v>
      </c>
      <c r="T912" s="30">
        <v>271.56288234904281</v>
      </c>
      <c r="U912" s="30">
        <v>273.83602583760302</v>
      </c>
      <c r="V912" s="30">
        <v>0</v>
      </c>
      <c r="W912" s="30">
        <v>0</v>
      </c>
      <c r="X912" s="30">
        <v>0</v>
      </c>
    </row>
    <row r="913" spans="10:24" x14ac:dyDescent="0.25">
      <c r="J913">
        <v>905</v>
      </c>
      <c r="K913" s="30">
        <v>4033.1770885167371</v>
      </c>
      <c r="L913" s="30">
        <v>3978.407462000308</v>
      </c>
      <c r="M913" s="30">
        <v>3391.9754219939409</v>
      </c>
      <c r="N913" s="30">
        <v>-423.17747363885246</v>
      </c>
      <c r="O913" s="30">
        <v>751.33186538291466</v>
      </c>
      <c r="P913" s="30">
        <v>-2493.6990129797623</v>
      </c>
      <c r="R913">
        <v>905</v>
      </c>
      <c r="S913" s="30">
        <v>220.42229965575331</v>
      </c>
      <c r="T913" s="30">
        <v>310.54697875199702</v>
      </c>
      <c r="U913" s="30">
        <v>188.28856537582061</v>
      </c>
      <c r="V913" s="30">
        <v>0</v>
      </c>
      <c r="W913" s="30">
        <v>0</v>
      </c>
      <c r="X913" s="30">
        <v>0</v>
      </c>
    </row>
    <row r="914" spans="10:24" x14ac:dyDescent="0.25">
      <c r="J914">
        <v>906</v>
      </c>
      <c r="K914" s="30">
        <v>2747.0025803522753</v>
      </c>
      <c r="L914" s="30">
        <v>2602.1676821432584</v>
      </c>
      <c r="M914" s="30">
        <v>3465.6842118785826</v>
      </c>
      <c r="N914" s="30">
        <v>326.79763839398765</v>
      </c>
      <c r="O914" s="30">
        <v>2116.8864422395964</v>
      </c>
      <c r="P914" s="30">
        <v>-658.48457288454301</v>
      </c>
      <c r="R914">
        <v>906</v>
      </c>
      <c r="S914" s="30">
        <v>196.83239941413001</v>
      </c>
      <c r="T914" s="30">
        <v>268.12068525348138</v>
      </c>
      <c r="U914" s="30">
        <v>174.61066882346989</v>
      </c>
      <c r="V914" s="30">
        <v>0</v>
      </c>
      <c r="W914" s="30">
        <v>0</v>
      </c>
      <c r="X914" s="30">
        <v>0</v>
      </c>
    </row>
    <row r="915" spans="10:24" x14ac:dyDescent="0.25">
      <c r="J915">
        <v>907</v>
      </c>
      <c r="K915" s="30">
        <v>2331.2018216706733</v>
      </c>
      <c r="L915" s="30">
        <v>3896.7849791549856</v>
      </c>
      <c r="M915" s="30">
        <v>1636.2950175954929</v>
      </c>
      <c r="N915" s="30">
        <v>2201.2252331374821</v>
      </c>
      <c r="O915" s="30">
        <v>1806.2818977798543</v>
      </c>
      <c r="P915" s="30">
        <v>-2304.7915127850511</v>
      </c>
      <c r="R915">
        <v>907</v>
      </c>
      <c r="S915" s="30">
        <v>141.21383806135867</v>
      </c>
      <c r="T915" s="30">
        <v>411.55021829057563</v>
      </c>
      <c r="U915" s="30">
        <v>200.02808576326743</v>
      </c>
      <c r="V915" s="30">
        <v>0</v>
      </c>
      <c r="W915" s="30">
        <v>0</v>
      </c>
      <c r="X915" s="30">
        <v>0</v>
      </c>
    </row>
    <row r="916" spans="10:24" x14ac:dyDescent="0.25">
      <c r="J916">
        <v>908</v>
      </c>
      <c r="K916" s="30">
        <v>3696.2217342353929</v>
      </c>
      <c r="L916" s="30">
        <v>3801.6846105523691</v>
      </c>
      <c r="M916" s="30">
        <v>2506.4245343712896</v>
      </c>
      <c r="N916" s="30">
        <v>-1175.6803058846663</v>
      </c>
      <c r="O916" s="30">
        <v>974.49909095490966</v>
      </c>
      <c r="P916" s="30">
        <v>-35.983159873275326</v>
      </c>
      <c r="R916">
        <v>908</v>
      </c>
      <c r="S916" s="30">
        <v>207.05164111109093</v>
      </c>
      <c r="T916" s="30">
        <v>357.90041842665374</v>
      </c>
      <c r="U916" s="30">
        <v>189.70738399364427</v>
      </c>
      <c r="V916" s="30">
        <v>0</v>
      </c>
      <c r="W916" s="30">
        <v>0</v>
      </c>
      <c r="X916" s="30">
        <v>0</v>
      </c>
    </row>
    <row r="917" spans="10:24" x14ac:dyDescent="0.25">
      <c r="J917">
        <v>909</v>
      </c>
      <c r="K917" s="30">
        <v>2142.0140328865482</v>
      </c>
      <c r="L917" s="30">
        <v>3099.059595752607</v>
      </c>
      <c r="M917" s="30">
        <v>3841.275964302512</v>
      </c>
      <c r="N917" s="30">
        <v>526.37150365583511</v>
      </c>
      <c r="O917" s="30">
        <v>1834.3745036156843</v>
      </c>
      <c r="P917" s="30">
        <v>-779.6814536118427</v>
      </c>
      <c r="R917">
        <v>909</v>
      </c>
      <c r="S917" s="30">
        <v>318.59362637663963</v>
      </c>
      <c r="T917" s="30">
        <v>251.3234580208125</v>
      </c>
      <c r="U917" s="30">
        <v>250.05904632494904</v>
      </c>
      <c r="V917" s="30">
        <v>0</v>
      </c>
      <c r="W917" s="30">
        <v>13.446288380036094</v>
      </c>
      <c r="X917" s="30">
        <v>0</v>
      </c>
    </row>
    <row r="918" spans="10:24" x14ac:dyDescent="0.25">
      <c r="J918">
        <v>910</v>
      </c>
      <c r="K918" s="30">
        <v>4210.5439470346191</v>
      </c>
      <c r="L918" s="30">
        <v>2983.9363339203123</v>
      </c>
      <c r="M918" s="30">
        <v>2323.0134811286471</v>
      </c>
      <c r="N918" s="30">
        <v>-30.819619507258722</v>
      </c>
      <c r="O918" s="30">
        <v>3347.8952293795801</v>
      </c>
      <c r="P918" s="30">
        <v>-811.4624793429557</v>
      </c>
      <c r="R918">
        <v>910</v>
      </c>
      <c r="S918" s="30">
        <v>229.06704222196441</v>
      </c>
      <c r="T918" s="30">
        <v>335.4185280813025</v>
      </c>
      <c r="U918" s="30">
        <v>110.44276584127277</v>
      </c>
      <c r="V918" s="30">
        <v>0</v>
      </c>
      <c r="W918" s="30">
        <v>0</v>
      </c>
      <c r="X918" s="30">
        <v>0</v>
      </c>
    </row>
    <row r="919" spans="10:24" x14ac:dyDescent="0.25">
      <c r="J919">
        <v>911</v>
      </c>
      <c r="K919" s="30">
        <v>2352.8902206307221</v>
      </c>
      <c r="L919" s="30">
        <v>2043.0609650443666</v>
      </c>
      <c r="M919" s="30">
        <v>3875.6895109989396</v>
      </c>
      <c r="N919" s="30">
        <v>-1049.3374482568634</v>
      </c>
      <c r="O919" s="30">
        <v>830.33471147595264</v>
      </c>
      <c r="P919" s="30">
        <v>-742.72087673999704</v>
      </c>
      <c r="R919">
        <v>911</v>
      </c>
      <c r="S919" s="30">
        <v>182.10203743641034</v>
      </c>
      <c r="T919" s="30">
        <v>377.40502052992593</v>
      </c>
      <c r="U919" s="30">
        <v>101.02108767484134</v>
      </c>
      <c r="V919" s="30">
        <v>93.505477858966174</v>
      </c>
      <c r="W919" s="30">
        <v>0</v>
      </c>
      <c r="X919" s="30">
        <v>0</v>
      </c>
    </row>
    <row r="920" spans="10:24" x14ac:dyDescent="0.25">
      <c r="J920">
        <v>912</v>
      </c>
      <c r="K920" s="30">
        <v>3650.7586801867419</v>
      </c>
      <c r="L920" s="30">
        <v>4442.3287480154922</v>
      </c>
      <c r="M920" s="30">
        <v>3830.0665216347129</v>
      </c>
      <c r="N920" s="30">
        <v>-220.99369676516562</v>
      </c>
      <c r="O920" s="30">
        <v>1375.0061090428926</v>
      </c>
      <c r="P920" s="30">
        <v>-1385.3151271371944</v>
      </c>
      <c r="R920">
        <v>912</v>
      </c>
      <c r="S920" s="30">
        <v>151.95726744366829</v>
      </c>
      <c r="T920" s="30">
        <v>291.61505613201047</v>
      </c>
      <c r="U920" s="30">
        <v>298.19077433281558</v>
      </c>
      <c r="V920" s="30">
        <v>0</v>
      </c>
      <c r="W920" s="30">
        <v>66.09162105323071</v>
      </c>
      <c r="X920" s="30">
        <v>0</v>
      </c>
    </row>
    <row r="921" spans="10:24" x14ac:dyDescent="0.25">
      <c r="J921">
        <v>913</v>
      </c>
      <c r="K921" s="30">
        <v>2765.5954550764191</v>
      </c>
      <c r="L921" s="30">
        <v>2444.9056108940331</v>
      </c>
      <c r="M921" s="30">
        <v>2318.1655199991624</v>
      </c>
      <c r="N921" s="30">
        <v>155.5436686444591</v>
      </c>
      <c r="O921" s="30">
        <v>1033.8449448339825</v>
      </c>
      <c r="P921" s="30">
        <v>-635.95169528286351</v>
      </c>
      <c r="R921">
        <v>913</v>
      </c>
      <c r="S921" s="30">
        <v>277.23829444159628</v>
      </c>
      <c r="T921" s="30">
        <v>266.5028314223573</v>
      </c>
      <c r="U921" s="30">
        <v>175.53693168465861</v>
      </c>
      <c r="V921" s="30">
        <v>0</v>
      </c>
      <c r="W921" s="30">
        <v>0</v>
      </c>
      <c r="X921" s="30">
        <v>0</v>
      </c>
    </row>
    <row r="922" spans="10:24" x14ac:dyDescent="0.25">
      <c r="J922">
        <v>914</v>
      </c>
      <c r="K922" s="30">
        <v>2962.9155882137848</v>
      </c>
      <c r="L922" s="30">
        <v>4196.8747573692808</v>
      </c>
      <c r="M922" s="30">
        <v>1532.0872937103973</v>
      </c>
      <c r="N922" s="30">
        <v>-1361.405320989742</v>
      </c>
      <c r="O922" s="30">
        <v>655.39446271537872</v>
      </c>
      <c r="P922" s="30">
        <v>-50.619452688831188</v>
      </c>
      <c r="R922">
        <v>914</v>
      </c>
      <c r="S922" s="30">
        <v>379.16111191198684</v>
      </c>
      <c r="T922" s="30">
        <v>414.00378460099228</v>
      </c>
      <c r="U922" s="30">
        <v>1.381428628676133</v>
      </c>
      <c r="V922" s="30">
        <v>0</v>
      </c>
      <c r="W922" s="30">
        <v>25.287574164663852</v>
      </c>
      <c r="X922" s="30">
        <v>0</v>
      </c>
    </row>
    <row r="923" spans="10:24" x14ac:dyDescent="0.25">
      <c r="J923">
        <v>915</v>
      </c>
      <c r="K923" s="30">
        <v>4208.420150126256</v>
      </c>
      <c r="L923" s="30">
        <v>4155.836998297149</v>
      </c>
      <c r="M923" s="30">
        <v>2628.213289840161</v>
      </c>
      <c r="N923" s="30">
        <v>-1349.2174435990337</v>
      </c>
      <c r="O923" s="30">
        <v>1589.5588361779282</v>
      </c>
      <c r="P923" s="30">
        <v>705.90066985904559</v>
      </c>
      <c r="R923">
        <v>915</v>
      </c>
      <c r="S923" s="30">
        <v>245.22258536892224</v>
      </c>
      <c r="T923" s="30">
        <v>360.62680493206875</v>
      </c>
      <c r="U923" s="30">
        <v>79.306581636121109</v>
      </c>
      <c r="V923" s="30">
        <v>0</v>
      </c>
      <c r="W923" s="30">
        <v>135.7498614261699</v>
      </c>
      <c r="X923" s="30">
        <v>0</v>
      </c>
    </row>
    <row r="924" spans="10:24" x14ac:dyDescent="0.25">
      <c r="J924">
        <v>916</v>
      </c>
      <c r="K924" s="30">
        <v>2210.2919021180164</v>
      </c>
      <c r="L924" s="30">
        <v>2988.1433632519497</v>
      </c>
      <c r="M924" s="30">
        <v>3869.2950216913241</v>
      </c>
      <c r="N924" s="30">
        <v>2856.5194729151199</v>
      </c>
      <c r="O924" s="30">
        <v>-2029.905747201331</v>
      </c>
      <c r="P924" s="30">
        <v>-831.38434328942822</v>
      </c>
      <c r="R924">
        <v>916</v>
      </c>
      <c r="S924" s="30">
        <v>128.48120136919368</v>
      </c>
      <c r="T924" s="30">
        <v>197.57821644455532</v>
      </c>
      <c r="U924" s="30">
        <v>174.67520020955476</v>
      </c>
      <c r="V924" s="30">
        <v>37.053851647016586</v>
      </c>
      <c r="W924" s="30">
        <v>0</v>
      </c>
      <c r="X924" s="30">
        <v>0</v>
      </c>
    </row>
    <row r="925" spans="10:24" x14ac:dyDescent="0.25">
      <c r="J925">
        <v>917</v>
      </c>
      <c r="K925" s="30">
        <v>2597.0719047201537</v>
      </c>
      <c r="L925" s="30">
        <v>2585.5333085149264</v>
      </c>
      <c r="M925" s="30">
        <v>1776.7428499312246</v>
      </c>
      <c r="N925" s="30">
        <v>378.48650811638436</v>
      </c>
      <c r="O925" s="30">
        <v>960.74562913727914</v>
      </c>
      <c r="P925" s="30">
        <v>-329.18740788427476</v>
      </c>
      <c r="R925">
        <v>917</v>
      </c>
      <c r="S925" s="30">
        <v>213.27961907303455</v>
      </c>
      <c r="T925" s="30">
        <v>257.36292131027346</v>
      </c>
      <c r="U925" s="30">
        <v>115.83466807012735</v>
      </c>
      <c r="V925" s="30">
        <v>49.502165380588565</v>
      </c>
      <c r="W925" s="30">
        <v>0</v>
      </c>
      <c r="X925" s="30">
        <v>0</v>
      </c>
    </row>
    <row r="926" spans="10:24" x14ac:dyDescent="0.25">
      <c r="J926">
        <v>918</v>
      </c>
      <c r="K926" s="30">
        <v>2740.7002962638335</v>
      </c>
      <c r="L926" s="30">
        <v>3661.9024491867194</v>
      </c>
      <c r="M926" s="30">
        <v>1647.3811959465429</v>
      </c>
      <c r="N926" s="30">
        <v>40.826907513207516</v>
      </c>
      <c r="O926" s="30">
        <v>-8.1760296235788701</v>
      </c>
      <c r="P926" s="30">
        <v>568.46708588715228</v>
      </c>
      <c r="R926">
        <v>918</v>
      </c>
      <c r="S926" s="30">
        <v>229.03099826000607</v>
      </c>
      <c r="T926" s="30">
        <v>242.3794078229044</v>
      </c>
      <c r="U926" s="30">
        <v>97.584872239238905</v>
      </c>
      <c r="V926" s="30">
        <v>0</v>
      </c>
      <c r="W926" s="30">
        <v>67.905979320759798</v>
      </c>
      <c r="X926" s="30">
        <v>0</v>
      </c>
    </row>
    <row r="927" spans="10:24" x14ac:dyDescent="0.25">
      <c r="J927">
        <v>919</v>
      </c>
      <c r="K927" s="30">
        <v>3848.8776069145174</v>
      </c>
      <c r="L927" s="30">
        <v>3713.3670706864741</v>
      </c>
      <c r="M927" s="30">
        <v>2702.6952571547758</v>
      </c>
      <c r="N927" s="30">
        <v>-642.20221145396772</v>
      </c>
      <c r="O927" s="30">
        <v>630.48021780996169</v>
      </c>
      <c r="P927" s="30">
        <v>-1865.3588196260353</v>
      </c>
      <c r="R927">
        <v>919</v>
      </c>
      <c r="S927" s="30">
        <v>240.20256387380198</v>
      </c>
      <c r="T927" s="30">
        <v>322.8623721486257</v>
      </c>
      <c r="U927" s="30">
        <v>93.220734930376693</v>
      </c>
      <c r="V927" s="30">
        <v>0</v>
      </c>
      <c r="W927" s="30">
        <v>0</v>
      </c>
      <c r="X927" s="30">
        <v>0</v>
      </c>
    </row>
    <row r="928" spans="10:24" x14ac:dyDescent="0.25">
      <c r="J928">
        <v>920</v>
      </c>
      <c r="K928" s="30">
        <v>4052.1483517342549</v>
      </c>
      <c r="L928" s="30">
        <v>3919.8094327463723</v>
      </c>
      <c r="M928" s="30">
        <v>3850.1215971158554</v>
      </c>
      <c r="N928" s="30">
        <v>907.86231029411556</v>
      </c>
      <c r="O928" s="30">
        <v>3089.7280207480444</v>
      </c>
      <c r="P928" s="30">
        <v>-12.177069615983783</v>
      </c>
      <c r="R928">
        <v>920</v>
      </c>
      <c r="S928" s="30">
        <v>229.15336039723326</v>
      </c>
      <c r="T928" s="30">
        <v>301.91259323562946</v>
      </c>
      <c r="U928" s="30">
        <v>212.58685850249844</v>
      </c>
      <c r="V928" s="30">
        <v>69.610020315671022</v>
      </c>
      <c r="W928" s="30">
        <v>1.9480946867785178</v>
      </c>
      <c r="X928" s="30">
        <v>0</v>
      </c>
    </row>
    <row r="929" spans="10:24" x14ac:dyDescent="0.25">
      <c r="J929">
        <v>921</v>
      </c>
      <c r="K929" s="30">
        <v>4122.2812497360283</v>
      </c>
      <c r="L929" s="30">
        <v>3099.9571177659059</v>
      </c>
      <c r="M929" s="30">
        <v>3553.5786625335718</v>
      </c>
      <c r="N929" s="30">
        <v>1435.9227225630548</v>
      </c>
      <c r="O929" s="30">
        <v>352.61990646532831</v>
      </c>
      <c r="P929" s="30">
        <v>-1006.733841706925</v>
      </c>
      <c r="R929">
        <v>921</v>
      </c>
      <c r="S929" s="30">
        <v>227.02862451479393</v>
      </c>
      <c r="T929" s="30">
        <v>259.69256609108231</v>
      </c>
      <c r="U929" s="30">
        <v>143.76163610099769</v>
      </c>
      <c r="V929" s="30">
        <v>0</v>
      </c>
      <c r="W929" s="30">
        <v>24.418786833349941</v>
      </c>
      <c r="X929" s="30">
        <v>0</v>
      </c>
    </row>
    <row r="930" spans="10:24" x14ac:dyDescent="0.25">
      <c r="J930">
        <v>922</v>
      </c>
      <c r="K930" s="30">
        <v>2099.2345738179015</v>
      </c>
      <c r="L930" s="30">
        <v>2860.6587650642919</v>
      </c>
      <c r="M930" s="30">
        <v>2659.3781135536747</v>
      </c>
      <c r="N930" s="30">
        <v>1737.5934751822988</v>
      </c>
      <c r="O930" s="30">
        <v>1636.8350542045046</v>
      </c>
      <c r="P930" s="30">
        <v>-1841.5055205556819</v>
      </c>
      <c r="R930">
        <v>922</v>
      </c>
      <c r="S930" s="30">
        <v>276.64154225263974</v>
      </c>
      <c r="T930" s="30">
        <v>322.11464013309592</v>
      </c>
      <c r="U930" s="30">
        <v>168.34347316587656</v>
      </c>
      <c r="V930" s="30">
        <v>0</v>
      </c>
      <c r="W930" s="30">
        <v>50.798025536559521</v>
      </c>
      <c r="X930" s="30">
        <v>0</v>
      </c>
    </row>
    <row r="931" spans="10:24" x14ac:dyDescent="0.25">
      <c r="J931">
        <v>923</v>
      </c>
      <c r="K931" s="30">
        <v>2148.0340592128964</v>
      </c>
      <c r="L931" s="30">
        <v>4068.4600622601984</v>
      </c>
      <c r="M931" s="30">
        <v>3614.0812274652708</v>
      </c>
      <c r="N931" s="30">
        <v>768.24377554611601</v>
      </c>
      <c r="O931" s="30">
        <v>2615.0383492433584</v>
      </c>
      <c r="P931" s="30">
        <v>-1550.0460242277813</v>
      </c>
      <c r="R931">
        <v>923</v>
      </c>
      <c r="S931" s="30">
        <v>273.8295626286943</v>
      </c>
      <c r="T931" s="30">
        <v>241.43002650154324</v>
      </c>
      <c r="U931" s="30">
        <v>123.82412763034341</v>
      </c>
      <c r="V931" s="30">
        <v>0</v>
      </c>
      <c r="W931" s="30">
        <v>160.79429152926707</v>
      </c>
      <c r="X931" s="30">
        <v>0</v>
      </c>
    </row>
    <row r="932" spans="10:24" x14ac:dyDescent="0.25">
      <c r="J932">
        <v>924</v>
      </c>
      <c r="K932" s="30">
        <v>3468.1679741567932</v>
      </c>
      <c r="L932" s="30">
        <v>2981.9054359426718</v>
      </c>
      <c r="M932" s="30">
        <v>2651.9314804864648</v>
      </c>
      <c r="N932" s="30">
        <v>892.317023565809</v>
      </c>
      <c r="O932" s="30">
        <v>-1474.8753088534213</v>
      </c>
      <c r="P932" s="30">
        <v>-2409.4670608531233</v>
      </c>
      <c r="R932">
        <v>924</v>
      </c>
      <c r="S932" s="30">
        <v>248.94232884077024</v>
      </c>
      <c r="T932" s="30">
        <v>338.92783550898992</v>
      </c>
      <c r="U932" s="30">
        <v>116.69761985371991</v>
      </c>
      <c r="V932" s="30">
        <v>0</v>
      </c>
      <c r="W932" s="30">
        <v>0</v>
      </c>
      <c r="X932" s="30">
        <v>0</v>
      </c>
    </row>
    <row r="933" spans="10:24" x14ac:dyDescent="0.25">
      <c r="J933">
        <v>925</v>
      </c>
      <c r="K933" s="30">
        <v>2633.5388580487147</v>
      </c>
      <c r="L933" s="30">
        <v>3867.1275927564147</v>
      </c>
      <c r="M933" s="30">
        <v>1639.5057427362849</v>
      </c>
      <c r="N933" s="30">
        <v>32.942220911035292</v>
      </c>
      <c r="O933" s="30">
        <v>887.16054871035522</v>
      </c>
      <c r="P933" s="30">
        <v>-269.57445398567506</v>
      </c>
      <c r="R933">
        <v>925</v>
      </c>
      <c r="S933" s="30">
        <v>232.8428078351352</v>
      </c>
      <c r="T933" s="30">
        <v>359.20251534231733</v>
      </c>
      <c r="U933" s="30">
        <v>98.564160310548914</v>
      </c>
      <c r="V933" s="30">
        <v>0</v>
      </c>
      <c r="W933" s="30">
        <v>0</v>
      </c>
      <c r="X933" s="30">
        <v>0</v>
      </c>
    </row>
    <row r="934" spans="10:24" x14ac:dyDescent="0.25">
      <c r="J934">
        <v>926</v>
      </c>
      <c r="K934" s="30">
        <v>1770.2334052491819</v>
      </c>
      <c r="L934" s="30">
        <v>3637.427721862422</v>
      </c>
      <c r="M934" s="30">
        <v>3573.4185888744646</v>
      </c>
      <c r="N934" s="30">
        <v>1063.2567835363297</v>
      </c>
      <c r="O934" s="30">
        <v>395.89303506004853</v>
      </c>
      <c r="P934" s="30">
        <v>1765.8771671096592</v>
      </c>
      <c r="R934">
        <v>926</v>
      </c>
      <c r="S934" s="30">
        <v>266.80707200066013</v>
      </c>
      <c r="T934" s="30">
        <v>362.45215281396264</v>
      </c>
      <c r="U934" s="30">
        <v>177.17527525876278</v>
      </c>
      <c r="V934" s="30">
        <v>0</v>
      </c>
      <c r="W934" s="30">
        <v>0</v>
      </c>
      <c r="X934" s="30">
        <v>0</v>
      </c>
    </row>
    <row r="935" spans="10:24" x14ac:dyDescent="0.25">
      <c r="J935">
        <v>927</v>
      </c>
      <c r="K935" s="30">
        <v>2137.1274595628829</v>
      </c>
      <c r="L935" s="30">
        <v>3853.6185208355487</v>
      </c>
      <c r="M935" s="30">
        <v>3573.7486088011055</v>
      </c>
      <c r="N935" s="30">
        <v>-1078.1535727070368</v>
      </c>
      <c r="O935" s="30">
        <v>2354.1766033362519</v>
      </c>
      <c r="P935" s="30">
        <v>486.31348221135704</v>
      </c>
      <c r="R935">
        <v>927</v>
      </c>
      <c r="S935" s="30">
        <v>259.15071599140026</v>
      </c>
      <c r="T935" s="30">
        <v>226.49194935269071</v>
      </c>
      <c r="U935" s="30">
        <v>121.03897183642357</v>
      </c>
      <c r="V935" s="30">
        <v>0</v>
      </c>
      <c r="W935" s="30">
        <v>0</v>
      </c>
      <c r="X935" s="30">
        <v>0</v>
      </c>
    </row>
    <row r="936" spans="10:24" x14ac:dyDescent="0.25">
      <c r="J936">
        <v>928</v>
      </c>
      <c r="K936" s="30">
        <v>3882.4523898018024</v>
      </c>
      <c r="L936" s="30">
        <v>4290.3325287250063</v>
      </c>
      <c r="M936" s="30">
        <v>2296.7497838004392</v>
      </c>
      <c r="N936" s="30">
        <v>1482.3745800742727</v>
      </c>
      <c r="O936" s="30">
        <v>3527.8557529418595</v>
      </c>
      <c r="P936" s="30">
        <v>781.25109569337747</v>
      </c>
      <c r="R936">
        <v>928</v>
      </c>
      <c r="S936" s="30">
        <v>220.45990784235505</v>
      </c>
      <c r="T936" s="30">
        <v>199.25562439488772</v>
      </c>
      <c r="U936" s="30">
        <v>79.206628702407272</v>
      </c>
      <c r="V936" s="30">
        <v>0</v>
      </c>
      <c r="W936" s="30">
        <v>0</v>
      </c>
      <c r="X936" s="30">
        <v>0</v>
      </c>
    </row>
    <row r="937" spans="10:24" x14ac:dyDescent="0.25">
      <c r="J937">
        <v>929</v>
      </c>
      <c r="K937" s="30">
        <v>4108.9931747666187</v>
      </c>
      <c r="L937" s="30">
        <v>1929.7312953237192</v>
      </c>
      <c r="M937" s="30">
        <v>3681.26960295456</v>
      </c>
      <c r="N937" s="30">
        <v>348.99685893803507</v>
      </c>
      <c r="O937" s="30">
        <v>202.23130641520675</v>
      </c>
      <c r="P937" s="30">
        <v>-1299.2122216934004</v>
      </c>
      <c r="R937">
        <v>929</v>
      </c>
      <c r="S937" s="30">
        <v>214.32740785491052</v>
      </c>
      <c r="T937" s="30">
        <v>375.66085644174422</v>
      </c>
      <c r="U937" s="30">
        <v>185.50740557312827</v>
      </c>
      <c r="V937" s="30">
        <v>0</v>
      </c>
      <c r="W937" s="30">
        <v>0</v>
      </c>
      <c r="X937" s="30">
        <v>0</v>
      </c>
    </row>
    <row r="938" spans="10:24" x14ac:dyDescent="0.25">
      <c r="J938">
        <v>930</v>
      </c>
      <c r="K938" s="30">
        <v>3174.0482348417081</v>
      </c>
      <c r="L938" s="30">
        <v>2781.7699390847602</v>
      </c>
      <c r="M938" s="30">
        <v>1621.1404213081332</v>
      </c>
      <c r="N938" s="30">
        <v>-449.85865024332816</v>
      </c>
      <c r="O938" s="30">
        <v>1373.1675728531945</v>
      </c>
      <c r="P938" s="30">
        <v>-598.51797109408471</v>
      </c>
      <c r="R938">
        <v>930</v>
      </c>
      <c r="S938" s="30">
        <v>304.50922918699024</v>
      </c>
      <c r="T938" s="30">
        <v>358.12523701213735</v>
      </c>
      <c r="U938" s="30">
        <v>122.99578034475905</v>
      </c>
      <c r="V938" s="30">
        <v>0</v>
      </c>
      <c r="W938" s="30">
        <v>0</v>
      </c>
      <c r="X938" s="30">
        <v>0</v>
      </c>
    </row>
    <row r="939" spans="10:24" x14ac:dyDescent="0.25">
      <c r="J939">
        <v>931</v>
      </c>
      <c r="K939" s="30">
        <v>2441.5124824478162</v>
      </c>
      <c r="L939" s="30">
        <v>4096.1702356375681</v>
      </c>
      <c r="M939" s="30">
        <v>2636.5867295426315</v>
      </c>
      <c r="N939" s="30">
        <v>999.2672742418581</v>
      </c>
      <c r="O939" s="30">
        <v>-1260.2613269330441</v>
      </c>
      <c r="P939" s="30">
        <v>-353.77548674813534</v>
      </c>
      <c r="R939">
        <v>931</v>
      </c>
      <c r="S939" s="30">
        <v>162.05503815248613</v>
      </c>
      <c r="T939" s="30">
        <v>379.90453698335722</v>
      </c>
      <c r="U939" s="30">
        <v>218.18877068976661</v>
      </c>
      <c r="V939" s="30">
        <v>0</v>
      </c>
      <c r="W939" s="30">
        <v>0</v>
      </c>
      <c r="X939" s="30">
        <v>0</v>
      </c>
    </row>
    <row r="940" spans="10:24" x14ac:dyDescent="0.25">
      <c r="J940">
        <v>932</v>
      </c>
      <c r="K940" s="30">
        <v>2465.8651907819894</v>
      </c>
      <c r="L940" s="30">
        <v>3873.4522437427431</v>
      </c>
      <c r="M940" s="30">
        <v>2405.2837276303221</v>
      </c>
      <c r="N940" s="30">
        <v>1543.4697916850464</v>
      </c>
      <c r="O940" s="30">
        <v>660.36118149908816</v>
      </c>
      <c r="P940" s="30">
        <v>-191.60051131072851</v>
      </c>
      <c r="R940">
        <v>932</v>
      </c>
      <c r="S940" s="30">
        <v>188.61630622732918</v>
      </c>
      <c r="T940" s="30">
        <v>294.00019426000847</v>
      </c>
      <c r="U940" s="30">
        <v>119.88204294117571</v>
      </c>
      <c r="V940" s="30">
        <v>0</v>
      </c>
      <c r="W940" s="30">
        <v>52.717513185972507</v>
      </c>
      <c r="X940" s="30">
        <v>0</v>
      </c>
    </row>
    <row r="941" spans="10:24" x14ac:dyDescent="0.25">
      <c r="J941">
        <v>933</v>
      </c>
      <c r="K941" s="30">
        <v>3120.0007856558332</v>
      </c>
      <c r="L941" s="30">
        <v>2667.847483522517</v>
      </c>
      <c r="M941" s="30">
        <v>3476.4312409677814</v>
      </c>
      <c r="N941" s="30">
        <v>-1162.1923714781387</v>
      </c>
      <c r="O941" s="30">
        <v>2803.1120678490706</v>
      </c>
      <c r="P941" s="30">
        <v>245.63891726869042</v>
      </c>
      <c r="R941">
        <v>933</v>
      </c>
      <c r="S941" s="30">
        <v>267.35489145072671</v>
      </c>
      <c r="T941" s="30">
        <v>209.4913233854723</v>
      </c>
      <c r="U941" s="30">
        <v>40.78412242720816</v>
      </c>
      <c r="V941" s="30">
        <v>0</v>
      </c>
      <c r="W941" s="30">
        <v>0</v>
      </c>
      <c r="X941" s="30">
        <v>0</v>
      </c>
    </row>
    <row r="942" spans="10:24" x14ac:dyDescent="0.25">
      <c r="J942">
        <v>934</v>
      </c>
      <c r="K942" s="30">
        <v>1996.4791473786349</v>
      </c>
      <c r="L942" s="30">
        <v>2991.8817436442323</v>
      </c>
      <c r="M942" s="30">
        <v>2753.1877126703557</v>
      </c>
      <c r="N942" s="30">
        <v>2636.8209361093541</v>
      </c>
      <c r="O942" s="30">
        <v>2555.3206960112611</v>
      </c>
      <c r="P942" s="30">
        <v>1496.727530780855</v>
      </c>
      <c r="R942">
        <v>934</v>
      </c>
      <c r="S942" s="30">
        <v>211.35104966648208</v>
      </c>
      <c r="T942" s="30">
        <v>345.04880804404195</v>
      </c>
      <c r="U942" s="30">
        <v>170.69476795420496</v>
      </c>
      <c r="V942" s="30">
        <v>0</v>
      </c>
      <c r="W942" s="30">
        <v>0</v>
      </c>
      <c r="X942" s="30">
        <v>0</v>
      </c>
    </row>
    <row r="943" spans="10:24" x14ac:dyDescent="0.25">
      <c r="J943">
        <v>935</v>
      </c>
      <c r="K943" s="30">
        <v>4118.7666199745145</v>
      </c>
      <c r="L943" s="30">
        <v>2373.4495539342729</v>
      </c>
      <c r="M943" s="30">
        <v>1974.8510037707088</v>
      </c>
      <c r="N943" s="30">
        <v>-481.93694934807263</v>
      </c>
      <c r="O943" s="30">
        <v>-305.82361878812571</v>
      </c>
      <c r="P943" s="30">
        <v>-1046.6662688067572</v>
      </c>
      <c r="R943">
        <v>935</v>
      </c>
      <c r="S943" s="30">
        <v>322.73979284439247</v>
      </c>
      <c r="T943" s="30">
        <v>287.43593290141371</v>
      </c>
      <c r="U943" s="30">
        <v>143.81418187138212</v>
      </c>
      <c r="V943" s="30">
        <v>0</v>
      </c>
      <c r="W943" s="30">
        <v>18.970245975017633</v>
      </c>
      <c r="X943" s="30">
        <v>0</v>
      </c>
    </row>
    <row r="944" spans="10:24" x14ac:dyDescent="0.25">
      <c r="J944">
        <v>936</v>
      </c>
      <c r="K944" s="30">
        <v>3768.6459265376388</v>
      </c>
      <c r="L944" s="30">
        <v>2883.7187311475836</v>
      </c>
      <c r="M944" s="30">
        <v>2253.3223452443717</v>
      </c>
      <c r="N944" s="30">
        <v>1023.3410681106907</v>
      </c>
      <c r="O944" s="30">
        <v>-430.58113570066598</v>
      </c>
      <c r="P944" s="30">
        <v>-424.41397229111135</v>
      </c>
      <c r="R944">
        <v>936</v>
      </c>
      <c r="S944" s="30">
        <v>230.96304319756905</v>
      </c>
      <c r="T944" s="30">
        <v>243.2501262518544</v>
      </c>
      <c r="U944" s="30">
        <v>147.76975486568205</v>
      </c>
      <c r="V944" s="30">
        <v>0</v>
      </c>
      <c r="W944" s="30">
        <v>0</v>
      </c>
      <c r="X944" s="30">
        <v>0</v>
      </c>
    </row>
    <row r="945" spans="10:24" x14ac:dyDescent="0.25">
      <c r="J945">
        <v>937</v>
      </c>
      <c r="K945" s="30">
        <v>2524.658608058674</v>
      </c>
      <c r="L945" s="30">
        <v>3608.0780344614641</v>
      </c>
      <c r="M945" s="30">
        <v>2398.0952945506942</v>
      </c>
      <c r="N945" s="30">
        <v>1314.6695463180267</v>
      </c>
      <c r="O945" s="30">
        <v>1807.9116283616877</v>
      </c>
      <c r="P945" s="30">
        <v>-551.07736017354637</v>
      </c>
      <c r="R945">
        <v>937</v>
      </c>
      <c r="S945" s="30">
        <v>183.46634126775274</v>
      </c>
      <c r="T945" s="30">
        <v>355.1384293140967</v>
      </c>
      <c r="U945" s="30">
        <v>119.54575235412443</v>
      </c>
      <c r="V945" s="30">
        <v>16.280710101709701</v>
      </c>
      <c r="W945" s="30">
        <v>114.8226362247533</v>
      </c>
      <c r="X945" s="30">
        <v>0</v>
      </c>
    </row>
    <row r="946" spans="10:24" x14ac:dyDescent="0.25">
      <c r="J946">
        <v>938</v>
      </c>
      <c r="K946" s="30">
        <v>3155.2458628303471</v>
      </c>
      <c r="L946" s="30">
        <v>2858.7275467249801</v>
      </c>
      <c r="M946" s="30">
        <v>1935.2593152811041</v>
      </c>
      <c r="N946" s="30">
        <v>-444.50637011559866</v>
      </c>
      <c r="O946" s="30">
        <v>1616.6847035312876</v>
      </c>
      <c r="P946" s="30">
        <v>-1033.7989788567384</v>
      </c>
      <c r="R946">
        <v>938</v>
      </c>
      <c r="S946" s="30">
        <v>337.4732180665722</v>
      </c>
      <c r="T946" s="30">
        <v>249.17852025615372</v>
      </c>
      <c r="U946" s="30">
        <v>186.80437934697562</v>
      </c>
      <c r="V946" s="30">
        <v>0</v>
      </c>
      <c r="W946" s="30">
        <v>77.086664153040715</v>
      </c>
      <c r="X946" s="30">
        <v>0</v>
      </c>
    </row>
    <row r="947" spans="10:24" x14ac:dyDescent="0.25">
      <c r="J947">
        <v>939</v>
      </c>
      <c r="K947" s="30">
        <v>3033.0899953969047</v>
      </c>
      <c r="L947" s="30">
        <v>2804.0163908742579</v>
      </c>
      <c r="M947" s="30">
        <v>2325.502319944198</v>
      </c>
      <c r="N947" s="30">
        <v>402.69934074293178</v>
      </c>
      <c r="O947" s="30">
        <v>1079.1730623854019</v>
      </c>
      <c r="P947" s="30">
        <v>-822.15737119379719</v>
      </c>
      <c r="R947">
        <v>939</v>
      </c>
      <c r="S947" s="30">
        <v>283.95709257351098</v>
      </c>
      <c r="T947" s="30">
        <v>347.76404269246223</v>
      </c>
      <c r="U947" s="30">
        <v>153.46678166300688</v>
      </c>
      <c r="V947" s="30">
        <v>0</v>
      </c>
      <c r="W947" s="30">
        <v>0</v>
      </c>
      <c r="X947" s="30">
        <v>0</v>
      </c>
    </row>
    <row r="948" spans="10:24" x14ac:dyDescent="0.25">
      <c r="J948">
        <v>940</v>
      </c>
      <c r="K948" s="30">
        <v>2289.7399982908942</v>
      </c>
      <c r="L948" s="30">
        <v>1923.3038395642034</v>
      </c>
      <c r="M948" s="30">
        <v>3740.8053339672115</v>
      </c>
      <c r="N948" s="30">
        <v>364.52739975666191</v>
      </c>
      <c r="O948" s="30">
        <v>-30.079443549392636</v>
      </c>
      <c r="P948" s="30">
        <v>625.7397820856304</v>
      </c>
      <c r="R948">
        <v>940</v>
      </c>
      <c r="S948" s="30">
        <v>196.02950333751136</v>
      </c>
      <c r="T948" s="30">
        <v>348.07821186057083</v>
      </c>
      <c r="U948" s="30">
        <v>254.4498210627001</v>
      </c>
      <c r="V948" s="30">
        <v>0</v>
      </c>
      <c r="W948" s="30">
        <v>116.32271714556316</v>
      </c>
      <c r="X948" s="30">
        <v>0</v>
      </c>
    </row>
    <row r="949" spans="10:24" x14ac:dyDescent="0.25">
      <c r="J949">
        <v>941</v>
      </c>
      <c r="K949" s="30">
        <v>2610.5028347611983</v>
      </c>
      <c r="L949" s="30">
        <v>2782.0479938792132</v>
      </c>
      <c r="M949" s="30">
        <v>2731.7791981038454</v>
      </c>
      <c r="N949" s="30">
        <v>129.4669538623757</v>
      </c>
      <c r="O949" s="30">
        <v>1172.4169356842913</v>
      </c>
      <c r="P949" s="30">
        <v>-1144.9952861441298</v>
      </c>
      <c r="R949">
        <v>941</v>
      </c>
      <c r="S949" s="30">
        <v>196.38779773437284</v>
      </c>
      <c r="T949" s="30">
        <v>377.71228415317734</v>
      </c>
      <c r="U949" s="30">
        <v>94.317822138682573</v>
      </c>
      <c r="V949" s="30">
        <v>0</v>
      </c>
      <c r="W949" s="30">
        <v>270.65026649240326</v>
      </c>
      <c r="X949" s="30">
        <v>0</v>
      </c>
    </row>
    <row r="950" spans="10:24" x14ac:dyDescent="0.25">
      <c r="J950">
        <v>942</v>
      </c>
      <c r="K950" s="30">
        <v>3874.5688744523231</v>
      </c>
      <c r="L950" s="30">
        <v>2055.8653179974963</v>
      </c>
      <c r="M950" s="30">
        <v>1917.5684975838185</v>
      </c>
      <c r="N950" s="30">
        <v>-874.97874938824407</v>
      </c>
      <c r="O950" s="30">
        <v>-292.5307502140322</v>
      </c>
      <c r="P950" s="30">
        <v>-2125.6562695509319</v>
      </c>
      <c r="R950">
        <v>942</v>
      </c>
      <c r="S950" s="30">
        <v>274.91992662352362</v>
      </c>
      <c r="T950" s="30">
        <v>304.06486804960008</v>
      </c>
      <c r="U950" s="30">
        <v>272.99918926000049</v>
      </c>
      <c r="V950" s="30">
        <v>0</v>
      </c>
      <c r="W950" s="30">
        <v>0</v>
      </c>
      <c r="X950" s="30">
        <v>0</v>
      </c>
    </row>
    <row r="951" spans="10:24" x14ac:dyDescent="0.25">
      <c r="J951">
        <v>943</v>
      </c>
      <c r="K951" s="30">
        <v>2176.4786406925073</v>
      </c>
      <c r="L951" s="30">
        <v>2314.7560725641551</v>
      </c>
      <c r="M951" s="30">
        <v>1886.2336759455702</v>
      </c>
      <c r="N951" s="30">
        <v>-1217.1361096926157</v>
      </c>
      <c r="O951" s="30">
        <v>2227.2198746473268</v>
      </c>
      <c r="P951" s="30">
        <v>730.42065329210891</v>
      </c>
      <c r="R951">
        <v>943</v>
      </c>
      <c r="S951" s="30">
        <v>332.28690584974879</v>
      </c>
      <c r="T951" s="30">
        <v>211.7706877995368</v>
      </c>
      <c r="U951" s="30">
        <v>56.902368998587519</v>
      </c>
      <c r="V951" s="30">
        <v>0</v>
      </c>
      <c r="W951" s="30">
        <v>28.534410130980064</v>
      </c>
      <c r="X951" s="30">
        <v>0</v>
      </c>
    </row>
    <row r="952" spans="10:24" x14ac:dyDescent="0.25">
      <c r="J952">
        <v>944</v>
      </c>
      <c r="K952" s="30">
        <v>3478.5193833087665</v>
      </c>
      <c r="L952" s="30">
        <v>4540.1440028449906</v>
      </c>
      <c r="M952" s="30">
        <v>3910.5751683554699</v>
      </c>
      <c r="N952" s="30">
        <v>-722.39943851382668</v>
      </c>
      <c r="O952" s="30">
        <v>1324.9032785190348</v>
      </c>
      <c r="P952" s="30">
        <v>-858.47184821283372</v>
      </c>
      <c r="R952">
        <v>944</v>
      </c>
      <c r="S952" s="30">
        <v>367.09658216960418</v>
      </c>
      <c r="T952" s="30">
        <v>348.21843504918007</v>
      </c>
      <c r="U952" s="30">
        <v>87.343099742050015</v>
      </c>
      <c r="V952" s="30">
        <v>0</v>
      </c>
      <c r="W952" s="30">
        <v>0</v>
      </c>
      <c r="X952" s="30">
        <v>0</v>
      </c>
    </row>
    <row r="953" spans="10:24" x14ac:dyDescent="0.25">
      <c r="J953">
        <v>945</v>
      </c>
      <c r="K953" s="30">
        <v>2840.5679844261113</v>
      </c>
      <c r="L953" s="30">
        <v>3122.047055527315</v>
      </c>
      <c r="M953" s="30">
        <v>2141.4732337254</v>
      </c>
      <c r="N953" s="30">
        <v>1465.8356473585418</v>
      </c>
      <c r="O953" s="30">
        <v>1372.1332901870774</v>
      </c>
      <c r="P953" s="30">
        <v>-1103.1480119704283</v>
      </c>
      <c r="R953">
        <v>945</v>
      </c>
      <c r="S953" s="30">
        <v>268.0540939257379</v>
      </c>
      <c r="T953" s="30">
        <v>341.48887094761221</v>
      </c>
      <c r="U953" s="30">
        <v>123.02901644280666</v>
      </c>
      <c r="V953" s="30">
        <v>220.5188148985028</v>
      </c>
      <c r="W953" s="30">
        <v>0</v>
      </c>
      <c r="X953" s="30">
        <v>0</v>
      </c>
    </row>
    <row r="954" spans="10:24" x14ac:dyDescent="0.25">
      <c r="J954">
        <v>946</v>
      </c>
      <c r="K954" s="30">
        <v>2436.6765199625424</v>
      </c>
      <c r="L954" s="30">
        <v>2529.6141030302028</v>
      </c>
      <c r="M954" s="30">
        <v>3167.3336606111598</v>
      </c>
      <c r="N954" s="30">
        <v>-2138.9525826919826</v>
      </c>
      <c r="O954" s="30">
        <v>535.73150085931138</v>
      </c>
      <c r="P954" s="30">
        <v>-206.44711748838836</v>
      </c>
      <c r="R954">
        <v>946</v>
      </c>
      <c r="S954" s="30">
        <v>185.19685155676831</v>
      </c>
      <c r="T954" s="30">
        <v>227.33143678725924</v>
      </c>
      <c r="U954" s="30">
        <v>264.35839964578349</v>
      </c>
      <c r="V954" s="30">
        <v>0</v>
      </c>
      <c r="W954" s="30">
        <v>0</v>
      </c>
      <c r="X954" s="30">
        <v>0.93040997975958817</v>
      </c>
    </row>
    <row r="955" spans="10:24" x14ac:dyDescent="0.25">
      <c r="J955">
        <v>947</v>
      </c>
      <c r="K955" s="30">
        <v>1804.8089701654399</v>
      </c>
      <c r="L955" s="30">
        <v>2482.9767131406011</v>
      </c>
      <c r="M955" s="30">
        <v>1336.8130851649694</v>
      </c>
      <c r="N955" s="30">
        <v>1459.8084488787272</v>
      </c>
      <c r="O955" s="30">
        <v>1463.121465185659</v>
      </c>
      <c r="P955" s="30">
        <v>-2752.7945942731749</v>
      </c>
      <c r="R955">
        <v>947</v>
      </c>
      <c r="S955" s="30">
        <v>222.67922372752702</v>
      </c>
      <c r="T955" s="30">
        <v>253.32607591128738</v>
      </c>
      <c r="U955" s="30">
        <v>101.42589779296378</v>
      </c>
      <c r="V955" s="30">
        <v>118.8500206623039</v>
      </c>
      <c r="W955" s="30">
        <v>0</v>
      </c>
      <c r="X955" s="30">
        <v>0</v>
      </c>
    </row>
    <row r="956" spans="10:24" x14ac:dyDescent="0.25">
      <c r="J956">
        <v>948</v>
      </c>
      <c r="K956" s="30">
        <v>3041.8021247016459</v>
      </c>
      <c r="L956" s="30">
        <v>3126.2075100486318</v>
      </c>
      <c r="M956" s="30">
        <v>1785.6657018052674</v>
      </c>
      <c r="N956" s="30">
        <v>1198.2748032764766</v>
      </c>
      <c r="O956" s="30">
        <v>3120.6954077095979</v>
      </c>
      <c r="P956" s="30">
        <v>-3635.9150640876378</v>
      </c>
      <c r="R956">
        <v>948</v>
      </c>
      <c r="S956" s="30">
        <v>253.89506218058006</v>
      </c>
      <c r="T956" s="30">
        <v>242.5264261727109</v>
      </c>
      <c r="U956" s="30">
        <v>122.41744535141197</v>
      </c>
      <c r="V956" s="30">
        <v>0</v>
      </c>
      <c r="W956" s="30">
        <v>0</v>
      </c>
      <c r="X956" s="30">
        <v>0</v>
      </c>
    </row>
    <row r="957" spans="10:24" x14ac:dyDescent="0.25">
      <c r="J957">
        <v>949</v>
      </c>
      <c r="K957" s="30">
        <v>2217.3822607064631</v>
      </c>
      <c r="L957" s="30">
        <v>3955.6784996779934</v>
      </c>
      <c r="M957" s="30">
        <v>3780.0376926757253</v>
      </c>
      <c r="N957" s="30">
        <v>-571.99813999186154</v>
      </c>
      <c r="O957" s="30">
        <v>2515.0680002036588</v>
      </c>
      <c r="P957" s="30">
        <v>-1435.9377499180655</v>
      </c>
      <c r="R957">
        <v>949</v>
      </c>
      <c r="S957" s="30">
        <v>354.57472980849161</v>
      </c>
      <c r="T957" s="30">
        <v>214.9209616674608</v>
      </c>
      <c r="U957" s="30">
        <v>93.167922283113796</v>
      </c>
      <c r="V957" s="30">
        <v>131.16775931939384</v>
      </c>
      <c r="W957" s="30">
        <v>21.291227278847941</v>
      </c>
      <c r="X957" s="30">
        <v>9.2023565343844211</v>
      </c>
    </row>
    <row r="958" spans="10:24" x14ac:dyDescent="0.25">
      <c r="J958">
        <v>950</v>
      </c>
      <c r="K958" s="30">
        <v>3433.3581764826026</v>
      </c>
      <c r="L958" s="30">
        <v>3587.5571995847326</v>
      </c>
      <c r="M958" s="30">
        <v>2452.9633489588996</v>
      </c>
      <c r="N958" s="30">
        <v>1895.0736614673706</v>
      </c>
      <c r="O958" s="30">
        <v>2976.0699817261484</v>
      </c>
      <c r="P958" s="30">
        <v>-2585.1646745475764</v>
      </c>
      <c r="R958">
        <v>950</v>
      </c>
      <c r="S958" s="30">
        <v>260.53778415792863</v>
      </c>
      <c r="T958" s="30">
        <v>277.03526023302618</v>
      </c>
      <c r="U958" s="30">
        <v>130.26278890509172</v>
      </c>
      <c r="V958" s="30">
        <v>35.30526163772663</v>
      </c>
      <c r="W958" s="30">
        <v>0</v>
      </c>
      <c r="X958" s="30">
        <v>0</v>
      </c>
    </row>
    <row r="959" spans="10:24" x14ac:dyDescent="0.25">
      <c r="J959">
        <v>951</v>
      </c>
      <c r="K959" s="30">
        <v>2864.5749647804414</v>
      </c>
      <c r="L959" s="30">
        <v>2675.2642116435482</v>
      </c>
      <c r="M959" s="30">
        <v>2358.6874805897355</v>
      </c>
      <c r="N959" s="30">
        <v>1911.9360660732245</v>
      </c>
      <c r="O959" s="30">
        <v>-194.10845725152649</v>
      </c>
      <c r="P959" s="30">
        <v>-1718.0609807146575</v>
      </c>
      <c r="R959">
        <v>951</v>
      </c>
      <c r="S959" s="30">
        <v>297.26714303353975</v>
      </c>
      <c r="T959" s="30">
        <v>258.66393718195388</v>
      </c>
      <c r="U959" s="30">
        <v>135.03539249473397</v>
      </c>
      <c r="V959" s="30">
        <v>0</v>
      </c>
      <c r="W959" s="30">
        <v>0</v>
      </c>
      <c r="X959" s="30">
        <v>0</v>
      </c>
    </row>
    <row r="960" spans="10:24" x14ac:dyDescent="0.25">
      <c r="J960">
        <v>952</v>
      </c>
      <c r="K960" s="30">
        <v>3931.6635694521547</v>
      </c>
      <c r="L960" s="30">
        <v>2835.9296505311327</v>
      </c>
      <c r="M960" s="30">
        <v>2494.0231441840656</v>
      </c>
      <c r="N960" s="30">
        <v>3783.6936641133634</v>
      </c>
      <c r="O960" s="30">
        <v>-350.11633131950202</v>
      </c>
      <c r="P960" s="30">
        <v>-1279.148194561627</v>
      </c>
      <c r="R960">
        <v>952</v>
      </c>
      <c r="S960" s="30">
        <v>351.0419599627628</v>
      </c>
      <c r="T960" s="30">
        <v>170.10932209265872</v>
      </c>
      <c r="U960" s="30">
        <v>96.095882577395514</v>
      </c>
      <c r="V960" s="30">
        <v>12.359702260980271</v>
      </c>
      <c r="W960" s="30">
        <v>0</v>
      </c>
      <c r="X960" s="30">
        <v>0</v>
      </c>
    </row>
    <row r="961" spans="10:24" x14ac:dyDescent="0.25">
      <c r="J961">
        <v>953</v>
      </c>
      <c r="K961" s="30">
        <v>3584.9295728193274</v>
      </c>
      <c r="L961" s="30">
        <v>2642.3659300259797</v>
      </c>
      <c r="M961" s="30">
        <v>3204.5561717240748</v>
      </c>
      <c r="N961" s="30">
        <v>828.58413593234582</v>
      </c>
      <c r="O961" s="30">
        <v>1456.9662599539042</v>
      </c>
      <c r="P961" s="30">
        <v>2584.5310814256081</v>
      </c>
      <c r="R961">
        <v>953</v>
      </c>
      <c r="S961" s="30">
        <v>333.22392884715089</v>
      </c>
      <c r="T961" s="30">
        <v>305.25854975358095</v>
      </c>
      <c r="U961" s="30">
        <v>111.90728951418959</v>
      </c>
      <c r="V961" s="30">
        <v>0</v>
      </c>
      <c r="W961" s="30">
        <v>0</v>
      </c>
      <c r="X961" s="30">
        <v>0</v>
      </c>
    </row>
    <row r="962" spans="10:24" x14ac:dyDescent="0.25">
      <c r="J962">
        <v>954</v>
      </c>
      <c r="K962" s="30">
        <v>2567.6977375784854</v>
      </c>
      <c r="L962" s="30">
        <v>2672.7241812025527</v>
      </c>
      <c r="M962" s="30">
        <v>2369.8628869247173</v>
      </c>
      <c r="N962" s="30">
        <v>1715.6238622418414</v>
      </c>
      <c r="O962" s="30">
        <v>-299.76590335983838</v>
      </c>
      <c r="P962" s="30">
        <v>-627.67342579124579</v>
      </c>
      <c r="R962">
        <v>954</v>
      </c>
      <c r="S962" s="30">
        <v>126.80976411885376</v>
      </c>
      <c r="T962" s="30">
        <v>303.22908057813771</v>
      </c>
      <c r="U962" s="30">
        <v>117.10956839708399</v>
      </c>
      <c r="V962" s="30">
        <v>0</v>
      </c>
      <c r="W962" s="30">
        <v>0</v>
      </c>
      <c r="X962" s="30">
        <v>0</v>
      </c>
    </row>
    <row r="963" spans="10:24" x14ac:dyDescent="0.25">
      <c r="J963">
        <v>955</v>
      </c>
      <c r="K963" s="30">
        <v>2434.6361479611273</v>
      </c>
      <c r="L963" s="30">
        <v>3804.8871111840645</v>
      </c>
      <c r="M963" s="30">
        <v>3701.1721633074962</v>
      </c>
      <c r="N963" s="30">
        <v>1609.9836132595747</v>
      </c>
      <c r="O963" s="30">
        <v>2346.00550948203</v>
      </c>
      <c r="P963" s="30">
        <v>-3078.4577167954048</v>
      </c>
      <c r="R963">
        <v>955</v>
      </c>
      <c r="S963" s="30">
        <v>327.97118735200195</v>
      </c>
      <c r="T963" s="30">
        <v>261.03510877212472</v>
      </c>
      <c r="U963" s="30">
        <v>132.50541933979747</v>
      </c>
      <c r="V963" s="30">
        <v>0</v>
      </c>
      <c r="W963" s="30">
        <v>0</v>
      </c>
      <c r="X963" s="30">
        <v>0</v>
      </c>
    </row>
    <row r="964" spans="10:24" x14ac:dyDescent="0.25">
      <c r="J964">
        <v>956</v>
      </c>
      <c r="K964" s="30">
        <v>3061.949064335412</v>
      </c>
      <c r="L964" s="30">
        <v>3024.0012132121674</v>
      </c>
      <c r="M964" s="30">
        <v>2708.0227192641528</v>
      </c>
      <c r="N964" s="30">
        <v>894.8391036734447</v>
      </c>
      <c r="O964" s="30">
        <v>56.594461148059054</v>
      </c>
      <c r="P964" s="30">
        <v>-2130.3741437183198</v>
      </c>
      <c r="R964">
        <v>956</v>
      </c>
      <c r="S964" s="30">
        <v>282.44124967354912</v>
      </c>
      <c r="T964" s="30">
        <v>418.28555983888731</v>
      </c>
      <c r="U964" s="30">
        <v>205.58453998076925</v>
      </c>
      <c r="V964" s="30">
        <v>0</v>
      </c>
      <c r="W964" s="30">
        <v>0</v>
      </c>
      <c r="X964" s="30">
        <v>0</v>
      </c>
    </row>
    <row r="965" spans="10:24" x14ac:dyDescent="0.25">
      <c r="J965">
        <v>957</v>
      </c>
      <c r="K965" s="30">
        <v>2671.5224812027627</v>
      </c>
      <c r="L965" s="30">
        <v>2872.0455313523221</v>
      </c>
      <c r="M965" s="30">
        <v>2916.2650390557778</v>
      </c>
      <c r="N965" s="30">
        <v>443.78471668260681</v>
      </c>
      <c r="O965" s="30">
        <v>2177.2386172128954</v>
      </c>
      <c r="P965" s="30">
        <v>-2101.4692795444498</v>
      </c>
      <c r="R965">
        <v>957</v>
      </c>
      <c r="S965" s="30">
        <v>325.70531542175075</v>
      </c>
      <c r="T965" s="30">
        <v>387.90803258238634</v>
      </c>
      <c r="U965" s="30">
        <v>0</v>
      </c>
      <c r="V965" s="30">
        <v>0</v>
      </c>
      <c r="W965" s="30">
        <v>0</v>
      </c>
      <c r="X965" s="30">
        <v>0</v>
      </c>
    </row>
    <row r="966" spans="10:24" x14ac:dyDescent="0.25">
      <c r="J966">
        <v>958</v>
      </c>
      <c r="K966" s="30">
        <v>3892.6415171161261</v>
      </c>
      <c r="L966" s="30">
        <v>2329.6413459273499</v>
      </c>
      <c r="M966" s="30">
        <v>2078.060735222487</v>
      </c>
      <c r="N966" s="30">
        <v>618.23580908634995</v>
      </c>
      <c r="O966" s="30">
        <v>29.244890946116357</v>
      </c>
      <c r="P966" s="30">
        <v>469.80531633622013</v>
      </c>
      <c r="R966">
        <v>958</v>
      </c>
      <c r="S966" s="30">
        <v>142.6614446947969</v>
      </c>
      <c r="T966" s="30">
        <v>301.83513825710088</v>
      </c>
      <c r="U966" s="30">
        <v>220.31504855307185</v>
      </c>
      <c r="V966" s="30">
        <v>0</v>
      </c>
      <c r="W966" s="30">
        <v>178.85946992055079</v>
      </c>
      <c r="X966" s="30">
        <v>0</v>
      </c>
    </row>
    <row r="967" spans="10:24" x14ac:dyDescent="0.25">
      <c r="J967">
        <v>959</v>
      </c>
      <c r="K967" s="30">
        <v>2687.3007964850726</v>
      </c>
      <c r="L967" s="30">
        <v>3075.1313120395598</v>
      </c>
      <c r="M967" s="30">
        <v>2319.5412216581258</v>
      </c>
      <c r="N967" s="30">
        <v>-1133.3992531421254</v>
      </c>
      <c r="O967" s="30">
        <v>2096.1761359904694</v>
      </c>
      <c r="P967" s="30">
        <v>1002.7670016808115</v>
      </c>
      <c r="R967">
        <v>959</v>
      </c>
      <c r="S967" s="30">
        <v>360.44312983757914</v>
      </c>
      <c r="T967" s="30">
        <v>141.18875205129251</v>
      </c>
      <c r="U967" s="30">
        <v>97.020517348317185</v>
      </c>
      <c r="V967" s="30">
        <v>3.6737404870438013</v>
      </c>
      <c r="W967" s="30">
        <v>66.659321772480098</v>
      </c>
      <c r="X967" s="30">
        <v>0</v>
      </c>
    </row>
    <row r="968" spans="10:24" x14ac:dyDescent="0.25">
      <c r="J968">
        <v>960</v>
      </c>
      <c r="K968" s="30">
        <v>2536.0728056113621</v>
      </c>
      <c r="L968" s="30">
        <v>2974.4748850635197</v>
      </c>
      <c r="M968" s="30">
        <v>2256.7268764032706</v>
      </c>
      <c r="N968" s="30">
        <v>1069.8320952346448</v>
      </c>
      <c r="O968" s="30">
        <v>1543.8496507685813</v>
      </c>
      <c r="P968" s="30">
        <v>288.46469613750196</v>
      </c>
      <c r="R968">
        <v>960</v>
      </c>
      <c r="S968" s="30">
        <v>304.47246320910654</v>
      </c>
      <c r="T968" s="30">
        <v>285.94089753780412</v>
      </c>
      <c r="U968" s="30">
        <v>48.993657498789503</v>
      </c>
      <c r="V968" s="30">
        <v>0</v>
      </c>
      <c r="W968" s="30">
        <v>128.363525376143</v>
      </c>
      <c r="X968" s="30">
        <v>0</v>
      </c>
    </row>
    <row r="969" spans="10:24" x14ac:dyDescent="0.25">
      <c r="J969">
        <v>961</v>
      </c>
      <c r="K969" s="30">
        <v>1879.484937062095</v>
      </c>
      <c r="L969" s="30">
        <v>3532.9025158897803</v>
      </c>
      <c r="M969" s="30">
        <v>2419.2763283224585</v>
      </c>
      <c r="N969" s="30">
        <v>1556.6317603520056</v>
      </c>
      <c r="O969" s="30">
        <v>344.74848342606401</v>
      </c>
      <c r="P969" s="30">
        <v>788.65827869221175</v>
      </c>
      <c r="R969">
        <v>961</v>
      </c>
      <c r="S969" s="30">
        <v>338.45642499787442</v>
      </c>
      <c r="T969" s="30">
        <v>352.92975606264946</v>
      </c>
      <c r="U969" s="30">
        <v>166.61779338717889</v>
      </c>
      <c r="V969" s="30">
        <v>70.127271301254041</v>
      </c>
      <c r="W969" s="30">
        <v>0</v>
      </c>
      <c r="X969" s="30">
        <v>0</v>
      </c>
    </row>
    <row r="970" spans="10:24" x14ac:dyDescent="0.25">
      <c r="J970">
        <v>962</v>
      </c>
      <c r="K970" s="30">
        <v>2468.7143056554514</v>
      </c>
      <c r="L970" s="30">
        <v>3801.2720738681869</v>
      </c>
      <c r="M970" s="30">
        <v>2711.7450948642336</v>
      </c>
      <c r="N970" s="30">
        <v>1494.9200570443572</v>
      </c>
      <c r="O970" s="30">
        <v>1002.5827577775726</v>
      </c>
      <c r="P970" s="30">
        <v>-2634.2340668617016</v>
      </c>
      <c r="R970">
        <v>962</v>
      </c>
      <c r="S970" s="30">
        <v>314.07778914897153</v>
      </c>
      <c r="T970" s="30">
        <v>382.10679683490275</v>
      </c>
      <c r="U970" s="30">
        <v>163.46362830129277</v>
      </c>
      <c r="V970" s="30">
        <v>0</v>
      </c>
      <c r="W970" s="30">
        <v>0</v>
      </c>
      <c r="X970" s="30">
        <v>0</v>
      </c>
    </row>
    <row r="971" spans="10:24" x14ac:dyDescent="0.25">
      <c r="J971">
        <v>963</v>
      </c>
      <c r="K971" s="30">
        <v>1998.5103698148437</v>
      </c>
      <c r="L971" s="30">
        <v>2216.0343192146133</v>
      </c>
      <c r="M971" s="30">
        <v>2484.4292710992859</v>
      </c>
      <c r="N971" s="30">
        <v>1.061706071595836E-3</v>
      </c>
      <c r="O971" s="30">
        <v>2158.9248875099756</v>
      </c>
      <c r="P971" s="30">
        <v>-1918.8235977615905</v>
      </c>
      <c r="R971">
        <v>963</v>
      </c>
      <c r="S971" s="30">
        <v>156.36803209813399</v>
      </c>
      <c r="T971" s="30">
        <v>401.17934754101236</v>
      </c>
      <c r="U971" s="30">
        <v>202.13320055104089</v>
      </c>
      <c r="V971" s="30">
        <v>0</v>
      </c>
      <c r="W971" s="30">
        <v>30.939836703492347</v>
      </c>
      <c r="X971" s="30">
        <v>0</v>
      </c>
    </row>
    <row r="972" spans="10:24" x14ac:dyDescent="0.25">
      <c r="J972">
        <v>964</v>
      </c>
      <c r="K972" s="30">
        <v>3621.1184591898377</v>
      </c>
      <c r="L972" s="30">
        <v>4306.8900546123205</v>
      </c>
      <c r="M972" s="30">
        <v>3534.3155374771782</v>
      </c>
      <c r="N972" s="30">
        <v>1067.7944559160451</v>
      </c>
      <c r="O972" s="30">
        <v>408.34735899550833</v>
      </c>
      <c r="P972" s="30">
        <v>-777.40252634590433</v>
      </c>
      <c r="R972">
        <v>964</v>
      </c>
      <c r="S972" s="30">
        <v>224.66015228415887</v>
      </c>
      <c r="T972" s="30">
        <v>271.60561118441495</v>
      </c>
      <c r="U972" s="30">
        <v>121.48630625287166</v>
      </c>
      <c r="V972" s="30">
        <v>0</v>
      </c>
      <c r="W972" s="30">
        <v>0</v>
      </c>
      <c r="X972" s="30">
        <v>0</v>
      </c>
    </row>
    <row r="973" spans="10:24" x14ac:dyDescent="0.25">
      <c r="J973">
        <v>965</v>
      </c>
      <c r="K973" s="30">
        <v>3359.6081408228983</v>
      </c>
      <c r="L973" s="30">
        <v>3380.6387274380372</v>
      </c>
      <c r="M973" s="30">
        <v>2585.6261224315385</v>
      </c>
      <c r="N973" s="30">
        <v>2367.5948948761261</v>
      </c>
      <c r="O973" s="30">
        <v>2162.1135802217177</v>
      </c>
      <c r="P973" s="30">
        <v>-1413.0656282225109</v>
      </c>
      <c r="R973">
        <v>965</v>
      </c>
      <c r="S973" s="30">
        <v>220.3369236586318</v>
      </c>
      <c r="T973" s="30">
        <v>344.45670915462932</v>
      </c>
      <c r="U973" s="30">
        <v>190.61705029504671</v>
      </c>
      <c r="V973" s="30">
        <v>0</v>
      </c>
      <c r="W973" s="30">
        <v>89.168300141507984</v>
      </c>
      <c r="X973" s="30">
        <v>0</v>
      </c>
    </row>
    <row r="974" spans="10:24" x14ac:dyDescent="0.25">
      <c r="J974">
        <v>966</v>
      </c>
      <c r="K974" s="30">
        <v>1868.291808271485</v>
      </c>
      <c r="L974" s="30">
        <v>2576.0793675756695</v>
      </c>
      <c r="M974" s="30">
        <v>3382.4904935409686</v>
      </c>
      <c r="N974" s="30">
        <v>3481.9375996257031</v>
      </c>
      <c r="O974" s="30">
        <v>2967.3180596711536</v>
      </c>
      <c r="P974" s="30">
        <v>537.98463663509756</v>
      </c>
      <c r="R974">
        <v>966</v>
      </c>
      <c r="S974" s="30">
        <v>146.48984656010833</v>
      </c>
      <c r="T974" s="30">
        <v>326.59487000165348</v>
      </c>
      <c r="U974" s="30">
        <v>59.138311562921558</v>
      </c>
      <c r="V974" s="30">
        <v>141.76789827517882</v>
      </c>
      <c r="W974" s="30">
        <v>0</v>
      </c>
      <c r="X974" s="30">
        <v>0</v>
      </c>
    </row>
    <row r="975" spans="10:24" x14ac:dyDescent="0.25">
      <c r="J975">
        <v>967</v>
      </c>
      <c r="K975" s="30">
        <v>3802.7925842400537</v>
      </c>
      <c r="L975" s="30">
        <v>3642.2210836053987</v>
      </c>
      <c r="M975" s="30">
        <v>1475.9834673506093</v>
      </c>
      <c r="N975" s="30">
        <v>112.12876157244591</v>
      </c>
      <c r="O975" s="30">
        <v>1088.3221488334648</v>
      </c>
      <c r="P975" s="30">
        <v>645.59618145054628</v>
      </c>
      <c r="R975">
        <v>967</v>
      </c>
      <c r="S975" s="30">
        <v>246.25036262360408</v>
      </c>
      <c r="T975" s="30">
        <v>274.48886304203216</v>
      </c>
      <c r="U975" s="30">
        <v>206.58810823708251</v>
      </c>
      <c r="V975" s="30">
        <v>0</v>
      </c>
      <c r="W975" s="30">
        <v>0</v>
      </c>
      <c r="X975" s="30">
        <v>0</v>
      </c>
    </row>
    <row r="976" spans="10:24" x14ac:dyDescent="0.25">
      <c r="J976">
        <v>968</v>
      </c>
      <c r="K976" s="30">
        <v>2513.7147962282015</v>
      </c>
      <c r="L976" s="30">
        <v>2301.9796095609595</v>
      </c>
      <c r="M976" s="30">
        <v>3359.3750672496594</v>
      </c>
      <c r="N976" s="30">
        <v>-102.94820054801585</v>
      </c>
      <c r="O976" s="30">
        <v>-421.47126429642958</v>
      </c>
      <c r="P976" s="30">
        <v>-1155.4490241444637</v>
      </c>
      <c r="R976">
        <v>968</v>
      </c>
      <c r="S976" s="30">
        <v>283.91344356866199</v>
      </c>
      <c r="T976" s="30">
        <v>223.99880495844434</v>
      </c>
      <c r="U976" s="30">
        <v>162.90484257639883</v>
      </c>
      <c r="V976" s="30">
        <v>0</v>
      </c>
      <c r="W976" s="30">
        <v>74.061023587530599</v>
      </c>
      <c r="X976" s="30">
        <v>0</v>
      </c>
    </row>
    <row r="977" spans="10:24" x14ac:dyDescent="0.25">
      <c r="J977">
        <v>969</v>
      </c>
      <c r="K977" s="30">
        <v>4056.4745566505085</v>
      </c>
      <c r="L977" s="30">
        <v>2386.3212209532903</v>
      </c>
      <c r="M977" s="30">
        <v>3113.4092545743383</v>
      </c>
      <c r="N977" s="30">
        <v>480.96909139808031</v>
      </c>
      <c r="O977" s="30">
        <v>1381.7108996493471</v>
      </c>
      <c r="P977" s="30">
        <v>-364.24846195468399</v>
      </c>
      <c r="R977">
        <v>969</v>
      </c>
      <c r="S977" s="30">
        <v>275.04368315080052</v>
      </c>
      <c r="T977" s="30">
        <v>302.16946332859237</v>
      </c>
      <c r="U977" s="30">
        <v>188.9633833241798</v>
      </c>
      <c r="V977" s="30">
        <v>0</v>
      </c>
      <c r="W977" s="30">
        <v>0</v>
      </c>
      <c r="X977" s="30">
        <v>0</v>
      </c>
    </row>
    <row r="978" spans="10:24" x14ac:dyDescent="0.25">
      <c r="J978">
        <v>970</v>
      </c>
      <c r="K978" s="30">
        <v>3560.1263939550663</v>
      </c>
      <c r="L978" s="30">
        <v>2748.7270654917784</v>
      </c>
      <c r="M978" s="30">
        <v>3596.4914416599877</v>
      </c>
      <c r="N978" s="30">
        <v>1352.3735020859103</v>
      </c>
      <c r="O978" s="30">
        <v>385.24250509853573</v>
      </c>
      <c r="P978" s="30">
        <v>1700.1014743532769</v>
      </c>
      <c r="R978">
        <v>970</v>
      </c>
      <c r="S978" s="30">
        <v>292.2152612680112</v>
      </c>
      <c r="T978" s="30">
        <v>275.67149048374074</v>
      </c>
      <c r="U978" s="30">
        <v>102.29313268310449</v>
      </c>
      <c r="V978" s="30">
        <v>0</v>
      </c>
      <c r="W978" s="30">
        <v>0</v>
      </c>
      <c r="X978" s="30">
        <v>0</v>
      </c>
    </row>
    <row r="979" spans="10:24" x14ac:dyDescent="0.25">
      <c r="J979">
        <v>971</v>
      </c>
      <c r="K979" s="30">
        <v>2985.1708089451504</v>
      </c>
      <c r="L979" s="30">
        <v>2503.4766726142716</v>
      </c>
      <c r="M979" s="30">
        <v>1747.6550513381544</v>
      </c>
      <c r="N979" s="30">
        <v>-651.34455057485593</v>
      </c>
      <c r="O979" s="30">
        <v>686.03331638457166</v>
      </c>
      <c r="P979" s="30">
        <v>1520.9798460089032</v>
      </c>
      <c r="R979">
        <v>971</v>
      </c>
      <c r="S979" s="30">
        <v>271.66060580450136</v>
      </c>
      <c r="T979" s="30">
        <v>402.18284138312066</v>
      </c>
      <c r="U979" s="30">
        <v>263.850806622942</v>
      </c>
      <c r="V979" s="30">
        <v>0</v>
      </c>
      <c r="W979" s="30">
        <v>0</v>
      </c>
      <c r="X979" s="30">
        <v>0</v>
      </c>
    </row>
    <row r="980" spans="10:24" x14ac:dyDescent="0.25">
      <c r="J980">
        <v>972</v>
      </c>
      <c r="K980" s="30">
        <v>4297.9400345265331</v>
      </c>
      <c r="L980" s="30">
        <v>4202.7028820926971</v>
      </c>
      <c r="M980" s="30">
        <v>2422.7207995614635</v>
      </c>
      <c r="N980" s="30">
        <v>319.32825645124194</v>
      </c>
      <c r="O980" s="30">
        <v>704.22407029331316</v>
      </c>
      <c r="P980" s="30">
        <v>1082.847918303899</v>
      </c>
      <c r="R980">
        <v>972</v>
      </c>
      <c r="S980" s="30">
        <v>353.7487170850676</v>
      </c>
      <c r="T980" s="30">
        <v>352.84049835294712</v>
      </c>
      <c r="U980" s="30">
        <v>169.73216423232134</v>
      </c>
      <c r="V980" s="30">
        <v>0</v>
      </c>
      <c r="W980" s="30">
        <v>32.542517131156842</v>
      </c>
      <c r="X980" s="30">
        <v>0</v>
      </c>
    </row>
    <row r="981" spans="10:24" x14ac:dyDescent="0.25">
      <c r="J981">
        <v>973</v>
      </c>
      <c r="K981" s="30">
        <v>3951.3644170757989</v>
      </c>
      <c r="L981" s="30">
        <v>2810.5518698330593</v>
      </c>
      <c r="M981" s="30">
        <v>3804.2615865253601</v>
      </c>
      <c r="N981" s="30">
        <v>488.30998086380259</v>
      </c>
      <c r="O981" s="30">
        <v>1064.8546161558115</v>
      </c>
      <c r="P981" s="30">
        <v>-355.97543251642583</v>
      </c>
      <c r="R981">
        <v>973</v>
      </c>
      <c r="S981" s="30">
        <v>273.07847616177918</v>
      </c>
      <c r="T981" s="30">
        <v>277.6988086244408</v>
      </c>
      <c r="U981" s="30">
        <v>219.29860385429669</v>
      </c>
      <c r="V981" s="30">
        <v>131.75827811668773</v>
      </c>
      <c r="W981" s="30">
        <v>18.996580885880007</v>
      </c>
      <c r="X981" s="30">
        <v>0</v>
      </c>
    </row>
    <row r="982" spans="10:24" x14ac:dyDescent="0.25">
      <c r="J982">
        <v>974</v>
      </c>
      <c r="K982" s="30">
        <v>1927.761587964947</v>
      </c>
      <c r="L982" s="30">
        <v>2259.8410157370281</v>
      </c>
      <c r="M982" s="30">
        <v>2755.2317234631128</v>
      </c>
      <c r="N982" s="30">
        <v>2292.3194850917371</v>
      </c>
      <c r="O982" s="30">
        <v>1141.0355360037647</v>
      </c>
      <c r="P982" s="30">
        <v>-2635.0452574125566</v>
      </c>
      <c r="R982">
        <v>974</v>
      </c>
      <c r="S982" s="30">
        <v>160.99688029172586</v>
      </c>
      <c r="T982" s="30">
        <v>451.6184733550208</v>
      </c>
      <c r="U982" s="30">
        <v>175.33746694756252</v>
      </c>
      <c r="V982" s="30">
        <v>0.15816712581465708</v>
      </c>
      <c r="W982" s="30">
        <v>65.659600587169962</v>
      </c>
      <c r="X982" s="30">
        <v>0</v>
      </c>
    </row>
    <row r="983" spans="10:24" x14ac:dyDescent="0.25">
      <c r="J983">
        <v>975</v>
      </c>
      <c r="K983" s="30">
        <v>4205.4987399476458</v>
      </c>
      <c r="L983" s="30">
        <v>3183.4878074818876</v>
      </c>
      <c r="M983" s="30">
        <v>3621.019606347058</v>
      </c>
      <c r="N983" s="30">
        <v>2037.1811476786716</v>
      </c>
      <c r="O983" s="30">
        <v>2406.711107798702</v>
      </c>
      <c r="P983" s="30">
        <v>-337.46679659224537</v>
      </c>
      <c r="R983">
        <v>975</v>
      </c>
      <c r="S983" s="30">
        <v>276.52526976563388</v>
      </c>
      <c r="T983" s="30">
        <v>313.44959760675647</v>
      </c>
      <c r="U983" s="30">
        <v>199.21831626528643</v>
      </c>
      <c r="V983" s="30">
        <v>0</v>
      </c>
      <c r="W983" s="30">
        <v>111.91161869405835</v>
      </c>
      <c r="X983" s="30">
        <v>0</v>
      </c>
    </row>
    <row r="984" spans="10:24" x14ac:dyDescent="0.25">
      <c r="J984">
        <v>976</v>
      </c>
      <c r="K984" s="30">
        <v>2819.0517619872508</v>
      </c>
      <c r="L984" s="30">
        <v>3790.4236654861988</v>
      </c>
      <c r="M984" s="30">
        <v>3518.0447679722174</v>
      </c>
      <c r="N984" s="30">
        <v>-1079.2360022774819</v>
      </c>
      <c r="O984" s="30">
        <v>1614.8253006029063</v>
      </c>
      <c r="P984" s="30">
        <v>-1141.2633372816799</v>
      </c>
      <c r="R984">
        <v>976</v>
      </c>
      <c r="S984" s="30">
        <v>252.54159444229595</v>
      </c>
      <c r="T984" s="30">
        <v>329.50156876914298</v>
      </c>
      <c r="U984" s="30">
        <v>84.73580390497284</v>
      </c>
      <c r="V984" s="30">
        <v>0</v>
      </c>
      <c r="W984" s="30">
        <v>0</v>
      </c>
      <c r="X984" s="30">
        <v>0</v>
      </c>
    </row>
    <row r="985" spans="10:24" x14ac:dyDescent="0.25">
      <c r="J985">
        <v>977</v>
      </c>
      <c r="K985" s="30">
        <v>4264.8821572815996</v>
      </c>
      <c r="L985" s="30">
        <v>3643.2164308743741</v>
      </c>
      <c r="M985" s="30">
        <v>1878.7396738342354</v>
      </c>
      <c r="N985" s="30">
        <v>-208.48213729660347</v>
      </c>
      <c r="O985" s="30">
        <v>3055.376792240595</v>
      </c>
      <c r="P985" s="30">
        <v>-526.25506400126869</v>
      </c>
      <c r="R985">
        <v>977</v>
      </c>
      <c r="S985" s="30">
        <v>227.53526883940657</v>
      </c>
      <c r="T985" s="30">
        <v>254.2366505937768</v>
      </c>
      <c r="U985" s="30">
        <v>88.312589775153242</v>
      </c>
      <c r="V985" s="30">
        <v>0</v>
      </c>
      <c r="W985" s="30">
        <v>0</v>
      </c>
      <c r="X985" s="30">
        <v>0</v>
      </c>
    </row>
    <row r="986" spans="10:24" x14ac:dyDescent="0.25">
      <c r="J986">
        <v>978</v>
      </c>
      <c r="K986" s="30">
        <v>2896.9486614685911</v>
      </c>
      <c r="L986" s="30">
        <v>3011.0703960520173</v>
      </c>
      <c r="M986" s="30">
        <v>3828.3811349118741</v>
      </c>
      <c r="N986" s="30">
        <v>458.77728129125626</v>
      </c>
      <c r="O986" s="30">
        <v>-1010.5715209001337</v>
      </c>
      <c r="P986" s="30">
        <v>-731.18077844933032</v>
      </c>
      <c r="R986">
        <v>978</v>
      </c>
      <c r="S986" s="30">
        <v>368.33723044494945</v>
      </c>
      <c r="T986" s="30">
        <v>394.49048089058869</v>
      </c>
      <c r="U986" s="30">
        <v>108.85082839606901</v>
      </c>
      <c r="V986" s="30">
        <v>0</v>
      </c>
      <c r="W986" s="30">
        <v>0</v>
      </c>
      <c r="X986" s="30">
        <v>0</v>
      </c>
    </row>
    <row r="987" spans="10:24" x14ac:dyDescent="0.25">
      <c r="J987">
        <v>979</v>
      </c>
      <c r="K987" s="30">
        <v>3269.6344360062194</v>
      </c>
      <c r="L987" s="30">
        <v>3315.9470682628785</v>
      </c>
      <c r="M987" s="30">
        <v>2280.8254148130331</v>
      </c>
      <c r="N987" s="30">
        <v>1144.1103862122218</v>
      </c>
      <c r="O987" s="30">
        <v>2420.9531573535833</v>
      </c>
      <c r="P987" s="30">
        <v>1416.2097860527156</v>
      </c>
      <c r="R987">
        <v>979</v>
      </c>
      <c r="S987" s="30">
        <v>319.26124597409853</v>
      </c>
      <c r="T987" s="30">
        <v>327.93176379740606</v>
      </c>
      <c r="U987" s="30">
        <v>141.6064841093164</v>
      </c>
      <c r="V987" s="30">
        <v>0</v>
      </c>
      <c r="W987" s="30">
        <v>0</v>
      </c>
      <c r="X987" s="30">
        <v>0</v>
      </c>
    </row>
    <row r="988" spans="10:24" x14ac:dyDescent="0.25">
      <c r="J988">
        <v>980</v>
      </c>
      <c r="K988" s="30">
        <v>2719.589993507414</v>
      </c>
      <c r="L988" s="30">
        <v>3743.5104417526777</v>
      </c>
      <c r="M988" s="30">
        <v>2557.3784224173924</v>
      </c>
      <c r="N988" s="30">
        <v>-887.8545944442003</v>
      </c>
      <c r="O988" s="30">
        <v>599.44905717310303</v>
      </c>
      <c r="P988" s="30">
        <v>-699.31709902362854</v>
      </c>
      <c r="R988">
        <v>980</v>
      </c>
      <c r="S988" s="30">
        <v>240.62637289663121</v>
      </c>
      <c r="T988" s="30">
        <v>319.98126953474008</v>
      </c>
      <c r="U988" s="30">
        <v>114.89053086327829</v>
      </c>
      <c r="V988" s="30">
        <v>0</v>
      </c>
      <c r="W988" s="30">
        <v>136.054889033878</v>
      </c>
      <c r="X988" s="30">
        <v>0</v>
      </c>
    </row>
    <row r="989" spans="10:24" x14ac:dyDescent="0.25">
      <c r="J989">
        <v>981</v>
      </c>
      <c r="K989" s="30">
        <v>3643.4478900866675</v>
      </c>
      <c r="L989" s="30">
        <v>2943.4585918316307</v>
      </c>
      <c r="M989" s="30">
        <v>3904.9117728367223</v>
      </c>
      <c r="N989" s="30">
        <v>732.22568496752956</v>
      </c>
      <c r="O989" s="30">
        <v>7.3174099731295428</v>
      </c>
      <c r="P989" s="30">
        <v>-306.99554218933372</v>
      </c>
      <c r="R989">
        <v>981</v>
      </c>
      <c r="S989" s="30">
        <v>287.01319787174737</v>
      </c>
      <c r="T989" s="30">
        <v>399.97429680782278</v>
      </c>
      <c r="U989" s="30">
        <v>125.04085647874047</v>
      </c>
      <c r="V989" s="30">
        <v>0</v>
      </c>
      <c r="W989" s="30">
        <v>63.975930342846823</v>
      </c>
      <c r="X989" s="30">
        <v>0</v>
      </c>
    </row>
    <row r="990" spans="10:24" x14ac:dyDescent="0.25">
      <c r="J990">
        <v>982</v>
      </c>
      <c r="K990" s="30">
        <v>2565.7494300556623</v>
      </c>
      <c r="L990" s="30">
        <v>2264.6449957526002</v>
      </c>
      <c r="M990" s="30">
        <v>2531.0377736471246</v>
      </c>
      <c r="N990" s="30">
        <v>1063.0760415039695</v>
      </c>
      <c r="O990" s="30">
        <v>1112.7580014301593</v>
      </c>
      <c r="P990" s="30">
        <v>-434.45681046020763</v>
      </c>
      <c r="R990">
        <v>982</v>
      </c>
      <c r="S990" s="30">
        <v>222.10116498751842</v>
      </c>
      <c r="T990" s="30">
        <v>146.09952413617111</v>
      </c>
      <c r="U990" s="30">
        <v>76.214905173932948</v>
      </c>
      <c r="V990" s="30">
        <v>129.55105454365651</v>
      </c>
      <c r="W990" s="30">
        <v>0</v>
      </c>
      <c r="X990" s="30">
        <v>0</v>
      </c>
    </row>
    <row r="991" spans="10:24" x14ac:dyDescent="0.25">
      <c r="J991">
        <v>983</v>
      </c>
      <c r="K991" s="30">
        <v>3481.2438714638574</v>
      </c>
      <c r="L991" s="30">
        <v>2572.0932190093936</v>
      </c>
      <c r="M991" s="30">
        <v>3732.4280290486336</v>
      </c>
      <c r="N991" s="30">
        <v>-354.38843258198904</v>
      </c>
      <c r="O991" s="30">
        <v>1393.4058654717064</v>
      </c>
      <c r="P991" s="30">
        <v>120.87307147089086</v>
      </c>
      <c r="R991">
        <v>983</v>
      </c>
      <c r="S991" s="30">
        <v>211.91370968861298</v>
      </c>
      <c r="T991" s="30">
        <v>215.52892064990658</v>
      </c>
      <c r="U991" s="30">
        <v>135.30261112882852</v>
      </c>
      <c r="V991" s="30">
        <v>0</v>
      </c>
      <c r="W991" s="30">
        <v>1.7866541853993567</v>
      </c>
      <c r="X991" s="30">
        <v>77.001620987967044</v>
      </c>
    </row>
    <row r="992" spans="10:24" x14ac:dyDescent="0.25">
      <c r="J992">
        <v>984</v>
      </c>
      <c r="K992" s="30">
        <v>1942.8630769270258</v>
      </c>
      <c r="L992" s="30">
        <v>3968.5045252019909</v>
      </c>
      <c r="M992" s="30">
        <v>2442.1379419997711</v>
      </c>
      <c r="N992" s="30">
        <v>-2037.6494292825009</v>
      </c>
      <c r="O992" s="30">
        <v>422.51552923924464</v>
      </c>
      <c r="P992" s="30">
        <v>76.236992180447487</v>
      </c>
      <c r="R992">
        <v>984</v>
      </c>
      <c r="S992" s="30">
        <v>203.76751606620059</v>
      </c>
      <c r="T992" s="30">
        <v>323.53445542542096</v>
      </c>
      <c r="U992" s="30">
        <v>162.1491566074065</v>
      </c>
      <c r="V992" s="30">
        <v>0</v>
      </c>
      <c r="W992" s="30">
        <v>4.7951623856962442</v>
      </c>
      <c r="X992" s="30">
        <v>0</v>
      </c>
    </row>
    <row r="993" spans="10:24" x14ac:dyDescent="0.25">
      <c r="J993">
        <v>985</v>
      </c>
      <c r="K993" s="30">
        <v>2577.7528885156589</v>
      </c>
      <c r="L993" s="30">
        <v>2317.5921220059558</v>
      </c>
      <c r="M993" s="30">
        <v>1936.4526324527287</v>
      </c>
      <c r="N993" s="30">
        <v>322.67670556605026</v>
      </c>
      <c r="O993" s="30">
        <v>287.76207730137321</v>
      </c>
      <c r="P993" s="30">
        <v>51.464878155656152</v>
      </c>
      <c r="R993">
        <v>985</v>
      </c>
      <c r="S993" s="30">
        <v>287.10086204142607</v>
      </c>
      <c r="T993" s="30">
        <v>270.80194313778952</v>
      </c>
      <c r="U993" s="30">
        <v>84.345202718261021</v>
      </c>
      <c r="V993" s="30">
        <v>0</v>
      </c>
      <c r="W993" s="30">
        <v>135.23866652015352</v>
      </c>
      <c r="X993" s="30">
        <v>0</v>
      </c>
    </row>
    <row r="994" spans="10:24" x14ac:dyDescent="0.25">
      <c r="J994">
        <v>986</v>
      </c>
      <c r="K994" s="30">
        <v>4232.0444868558061</v>
      </c>
      <c r="L994" s="30">
        <v>3740.7913806798301</v>
      </c>
      <c r="M994" s="30">
        <v>3579.6008214402655</v>
      </c>
      <c r="N994" s="30">
        <v>818.00245527888364</v>
      </c>
      <c r="O994" s="30">
        <v>952.11216422072994</v>
      </c>
      <c r="P994" s="30">
        <v>-1107.0751041719586</v>
      </c>
      <c r="R994">
        <v>986</v>
      </c>
      <c r="S994" s="30">
        <v>390.31543824536368</v>
      </c>
      <c r="T994" s="30">
        <v>455.82433766358673</v>
      </c>
      <c r="U994" s="30">
        <v>152.03873766803196</v>
      </c>
      <c r="V994" s="30">
        <v>0</v>
      </c>
      <c r="W994" s="30">
        <v>0</v>
      </c>
      <c r="X994" s="30">
        <v>0</v>
      </c>
    </row>
    <row r="995" spans="10:24" x14ac:dyDescent="0.25">
      <c r="J995">
        <v>987</v>
      </c>
      <c r="K995" s="30">
        <v>2986.2349930488285</v>
      </c>
      <c r="L995" s="30">
        <v>2827.0448800577919</v>
      </c>
      <c r="M995" s="30">
        <v>2097.7508452829616</v>
      </c>
      <c r="N995" s="30">
        <v>1633.4313086317452</v>
      </c>
      <c r="O995" s="30">
        <v>-329.8954173796883</v>
      </c>
      <c r="P995" s="30">
        <v>-2039.418892956277</v>
      </c>
      <c r="R995">
        <v>987</v>
      </c>
      <c r="S995" s="30">
        <v>285.7612719514521</v>
      </c>
      <c r="T995" s="30">
        <v>256.16882834737282</v>
      </c>
      <c r="U995" s="30">
        <v>204.62644211418444</v>
      </c>
      <c r="V995" s="30">
        <v>13.295668960061107</v>
      </c>
      <c r="W995" s="30">
        <v>0</v>
      </c>
      <c r="X995" s="30">
        <v>0</v>
      </c>
    </row>
    <row r="996" spans="10:24" x14ac:dyDescent="0.25">
      <c r="J996">
        <v>988</v>
      </c>
      <c r="K996" s="30">
        <v>2793.2369617392651</v>
      </c>
      <c r="L996" s="30">
        <v>2194.0294892492857</v>
      </c>
      <c r="M996" s="30">
        <v>3461.6513443057947</v>
      </c>
      <c r="N996" s="30">
        <v>136.96051604492641</v>
      </c>
      <c r="O996" s="30">
        <v>1183.3770117238</v>
      </c>
      <c r="P996" s="30">
        <v>-463.56443037741519</v>
      </c>
      <c r="R996">
        <v>988</v>
      </c>
      <c r="S996" s="30">
        <v>321.39190857363297</v>
      </c>
      <c r="T996" s="30">
        <v>243.70406272101798</v>
      </c>
      <c r="U996" s="30">
        <v>222.83472695454398</v>
      </c>
      <c r="V996" s="30">
        <v>0</v>
      </c>
      <c r="W996" s="30">
        <v>48.351069536337945</v>
      </c>
      <c r="X996" s="30">
        <v>0</v>
      </c>
    </row>
    <row r="997" spans="10:24" x14ac:dyDescent="0.25">
      <c r="J997">
        <v>989</v>
      </c>
      <c r="K997" s="30">
        <v>2032.9357520960079</v>
      </c>
      <c r="L997" s="30">
        <v>3824.7241033646692</v>
      </c>
      <c r="M997" s="30">
        <v>2803.6197697719726</v>
      </c>
      <c r="N997" s="30">
        <v>1005.1865784407519</v>
      </c>
      <c r="O997" s="30">
        <v>-258.55318980981701</v>
      </c>
      <c r="P997" s="30">
        <v>1123.0873608007605</v>
      </c>
      <c r="R997">
        <v>989</v>
      </c>
      <c r="S997" s="30">
        <v>160.59084756632723</v>
      </c>
      <c r="T997" s="30">
        <v>291.10214763003466</v>
      </c>
      <c r="U997" s="30">
        <v>195.44858093109156</v>
      </c>
      <c r="V997" s="30">
        <v>0</v>
      </c>
      <c r="W997" s="30">
        <v>138.93075137350945</v>
      </c>
      <c r="X997" s="30">
        <v>0</v>
      </c>
    </row>
    <row r="998" spans="10:24" x14ac:dyDescent="0.25">
      <c r="J998">
        <v>990</v>
      </c>
      <c r="K998" s="30">
        <v>2654.8753327091981</v>
      </c>
      <c r="L998" s="30">
        <v>2583.1321103730224</v>
      </c>
      <c r="M998" s="30">
        <v>3956.9890912281203</v>
      </c>
      <c r="N998" s="30">
        <v>700.42561556286273</v>
      </c>
      <c r="O998" s="30">
        <v>-144.70029820371838</v>
      </c>
      <c r="P998" s="30">
        <v>-3534.08625618727</v>
      </c>
      <c r="R998">
        <v>990</v>
      </c>
      <c r="S998" s="30">
        <v>292.7428509237705</v>
      </c>
      <c r="T998" s="30">
        <v>348.93775453203824</v>
      </c>
      <c r="U998" s="30">
        <v>254.55250796891011</v>
      </c>
      <c r="V998" s="30">
        <v>229.56477774631901</v>
      </c>
      <c r="W998" s="30">
        <v>30.356141589358003</v>
      </c>
      <c r="X998" s="30">
        <v>0</v>
      </c>
    </row>
    <row r="999" spans="10:24" x14ac:dyDescent="0.25">
      <c r="J999">
        <v>991</v>
      </c>
      <c r="K999" s="30">
        <v>2917.6816091268697</v>
      </c>
      <c r="L999" s="30">
        <v>4660.9651326004587</v>
      </c>
      <c r="M999" s="30">
        <v>3063.2763529180447</v>
      </c>
      <c r="N999" s="30">
        <v>-1597.9481283823898</v>
      </c>
      <c r="O999" s="30">
        <v>458.49207774981733</v>
      </c>
      <c r="P999" s="30">
        <v>-160.65962148769449</v>
      </c>
      <c r="R999">
        <v>991</v>
      </c>
      <c r="S999" s="30">
        <v>313.75599550545917</v>
      </c>
      <c r="T999" s="30">
        <v>320.16833526196729</v>
      </c>
      <c r="U999" s="30">
        <v>223.77311649721997</v>
      </c>
      <c r="V999" s="30">
        <v>0</v>
      </c>
      <c r="W999" s="30">
        <v>0</v>
      </c>
      <c r="X999" s="30">
        <v>0</v>
      </c>
    </row>
    <row r="1000" spans="10:24" x14ac:dyDescent="0.25">
      <c r="J1000">
        <v>992</v>
      </c>
      <c r="K1000" s="30">
        <v>3121.0523460001014</v>
      </c>
      <c r="L1000" s="30">
        <v>4349.4158249735428</v>
      </c>
      <c r="M1000" s="30">
        <v>3010.8103217543094</v>
      </c>
      <c r="N1000" s="30">
        <v>-657.99478794984134</v>
      </c>
      <c r="O1000" s="30">
        <v>3060.105772926906</v>
      </c>
      <c r="P1000" s="30">
        <v>57.884237716302778</v>
      </c>
      <c r="R1000">
        <v>992</v>
      </c>
      <c r="S1000" s="30">
        <v>336.01716709991337</v>
      </c>
      <c r="T1000" s="30">
        <v>290.15489299198975</v>
      </c>
      <c r="U1000" s="30">
        <v>293.39391544997636</v>
      </c>
      <c r="V1000" s="30">
        <v>28.795476715041445</v>
      </c>
      <c r="W1000" s="30">
        <v>0</v>
      </c>
      <c r="X1000" s="30">
        <v>0</v>
      </c>
    </row>
    <row r="1001" spans="10:24" x14ac:dyDescent="0.25">
      <c r="J1001">
        <v>993</v>
      </c>
      <c r="K1001" s="30">
        <v>2890.4694925594285</v>
      </c>
      <c r="L1001" s="30">
        <v>3278.0738108393143</v>
      </c>
      <c r="M1001" s="30">
        <v>2161.3278291197876</v>
      </c>
      <c r="N1001" s="30">
        <v>533.94670331423458</v>
      </c>
      <c r="O1001" s="30">
        <v>214.19559595574265</v>
      </c>
      <c r="P1001" s="30">
        <v>-573.16978634109091</v>
      </c>
      <c r="R1001">
        <v>993</v>
      </c>
      <c r="S1001" s="30">
        <v>271.78455445324511</v>
      </c>
      <c r="T1001" s="30">
        <v>223.84047203649504</v>
      </c>
      <c r="U1001" s="30">
        <v>168.85120142078472</v>
      </c>
      <c r="V1001" s="30">
        <v>0</v>
      </c>
      <c r="W1001" s="30">
        <v>0</v>
      </c>
      <c r="X1001" s="30">
        <v>16.526455454693405</v>
      </c>
    </row>
    <row r="1002" spans="10:24" x14ac:dyDescent="0.25">
      <c r="J1002">
        <v>994</v>
      </c>
      <c r="K1002" s="30">
        <v>2690.7790237373779</v>
      </c>
      <c r="L1002" s="30">
        <v>2578.4044301116651</v>
      </c>
      <c r="M1002" s="30">
        <v>3752.4437169997718</v>
      </c>
      <c r="N1002" s="30">
        <v>1298.5969622918337</v>
      </c>
      <c r="O1002" s="30">
        <v>927.34716786252557</v>
      </c>
      <c r="P1002" s="30">
        <v>221.59071618272537</v>
      </c>
      <c r="R1002">
        <v>994</v>
      </c>
      <c r="S1002" s="30">
        <v>218.03912892920169</v>
      </c>
      <c r="T1002" s="30">
        <v>350.8725668701378</v>
      </c>
      <c r="U1002" s="30">
        <v>86.221865351800034</v>
      </c>
      <c r="V1002" s="30">
        <v>25.324016795554144</v>
      </c>
      <c r="W1002" s="30">
        <v>0</v>
      </c>
      <c r="X1002" s="30">
        <v>0</v>
      </c>
    </row>
    <row r="1003" spans="10:24" x14ac:dyDescent="0.25">
      <c r="J1003">
        <v>995</v>
      </c>
      <c r="K1003" s="30">
        <v>2640.3241344099533</v>
      </c>
      <c r="L1003" s="30">
        <v>3905.653913305357</v>
      </c>
      <c r="M1003" s="30">
        <v>2232.5370614010326</v>
      </c>
      <c r="N1003" s="30">
        <v>620.95981525569641</v>
      </c>
      <c r="O1003" s="30">
        <v>2477.5749073340639</v>
      </c>
      <c r="P1003" s="30">
        <v>615.09366255366604</v>
      </c>
      <c r="R1003">
        <v>995</v>
      </c>
      <c r="S1003" s="30">
        <v>252.48090015649683</v>
      </c>
      <c r="T1003" s="30">
        <v>420.9264684160583</v>
      </c>
      <c r="U1003" s="30">
        <v>239.26563176785982</v>
      </c>
      <c r="V1003" s="30">
        <v>139.34267477918257</v>
      </c>
      <c r="W1003" s="30">
        <v>0</v>
      </c>
      <c r="X1003" s="30">
        <v>0</v>
      </c>
    </row>
    <row r="1004" spans="10:24" x14ac:dyDescent="0.25">
      <c r="J1004">
        <v>996</v>
      </c>
      <c r="K1004" s="30">
        <v>3819.4117147527732</v>
      </c>
      <c r="L1004" s="30">
        <v>3827.9151780949696</v>
      </c>
      <c r="M1004" s="30">
        <v>2106.4251719328804</v>
      </c>
      <c r="N1004" s="30">
        <v>1153.9733515409453</v>
      </c>
      <c r="O1004" s="30">
        <v>363.31843331293021</v>
      </c>
      <c r="P1004" s="30">
        <v>-1829.2500606343719</v>
      </c>
      <c r="R1004">
        <v>996</v>
      </c>
      <c r="S1004" s="30">
        <v>246.93809380048742</v>
      </c>
      <c r="T1004" s="30">
        <v>398.60718218396386</v>
      </c>
      <c r="U1004" s="30">
        <v>227.45440717791365</v>
      </c>
      <c r="V1004" s="30">
        <v>0</v>
      </c>
      <c r="W1004" s="30">
        <v>0</v>
      </c>
      <c r="X1004" s="30">
        <v>0</v>
      </c>
    </row>
    <row r="1005" spans="10:24" x14ac:dyDescent="0.25">
      <c r="J1005">
        <v>997</v>
      </c>
      <c r="K1005" s="30">
        <v>3793.325091477026</v>
      </c>
      <c r="L1005" s="30">
        <v>2722.681377438219</v>
      </c>
      <c r="M1005" s="30">
        <v>2602.4240076636229</v>
      </c>
      <c r="N1005" s="30">
        <v>-730.22226844085253</v>
      </c>
      <c r="O1005" s="30">
        <v>-1319.4014586370304</v>
      </c>
      <c r="P1005" s="30">
        <v>93.698739856085922</v>
      </c>
      <c r="R1005">
        <v>997</v>
      </c>
      <c r="S1005" s="30">
        <v>160.29315293158692</v>
      </c>
      <c r="T1005" s="30">
        <v>281.67570282930427</v>
      </c>
      <c r="U1005" s="30">
        <v>91.078844231830544</v>
      </c>
      <c r="V1005" s="30">
        <v>40.85155854427228</v>
      </c>
      <c r="W1005" s="30">
        <v>0</v>
      </c>
      <c r="X1005" s="30">
        <v>0</v>
      </c>
    </row>
    <row r="1006" spans="10:24" x14ac:dyDescent="0.25">
      <c r="J1006">
        <v>998</v>
      </c>
      <c r="K1006" s="30">
        <v>2695.3505130205112</v>
      </c>
      <c r="L1006" s="30">
        <v>2696.3649358353869</v>
      </c>
      <c r="M1006" s="30">
        <v>2147.8980492604478</v>
      </c>
      <c r="N1006" s="30">
        <v>343.42374266545994</v>
      </c>
      <c r="O1006" s="30">
        <v>1099.4389571975662</v>
      </c>
      <c r="P1006" s="30">
        <v>826.04761784361745</v>
      </c>
      <c r="R1006">
        <v>998</v>
      </c>
      <c r="S1006" s="30">
        <v>269.92574609484365</v>
      </c>
      <c r="T1006" s="30">
        <v>288.38877823604764</v>
      </c>
      <c r="U1006" s="30">
        <v>211.06998049316064</v>
      </c>
      <c r="V1006" s="30">
        <v>0</v>
      </c>
      <c r="W1006" s="30">
        <v>0</v>
      </c>
      <c r="X1006" s="30">
        <v>0</v>
      </c>
    </row>
    <row r="1007" spans="10:24" x14ac:dyDescent="0.25">
      <c r="J1007">
        <v>999</v>
      </c>
      <c r="K1007" s="30">
        <v>3585.7067804777539</v>
      </c>
      <c r="L1007" s="30">
        <v>4495.2400748707323</v>
      </c>
      <c r="M1007" s="30">
        <v>3439.3645582337472</v>
      </c>
      <c r="N1007" s="30">
        <v>-2901.6741924092439</v>
      </c>
      <c r="O1007" s="30">
        <v>3248.8229497517477</v>
      </c>
      <c r="P1007" s="30">
        <v>317.32237769804578</v>
      </c>
      <c r="R1007">
        <v>999</v>
      </c>
      <c r="S1007" s="30">
        <v>235.392948349861</v>
      </c>
      <c r="T1007" s="30">
        <v>324.91918983450694</v>
      </c>
      <c r="U1007" s="30">
        <v>208.70248758189979</v>
      </c>
      <c r="V1007" s="30">
        <v>0</v>
      </c>
      <c r="W1007" s="30">
        <v>0</v>
      </c>
      <c r="X1007" s="30">
        <v>0</v>
      </c>
    </row>
    <row r="1008" spans="10:24" x14ac:dyDescent="0.25">
      <c r="J1008">
        <v>1000</v>
      </c>
      <c r="K1008" s="30">
        <v>4343.594905332151</v>
      </c>
      <c r="L1008" s="30">
        <v>3060.5258342935463</v>
      </c>
      <c r="M1008" s="30">
        <v>1785.8815687044475</v>
      </c>
      <c r="N1008" s="30">
        <v>-987.17897092951353</v>
      </c>
      <c r="O1008" s="30">
        <v>2008.5903033789054</v>
      </c>
      <c r="P1008" s="30">
        <v>920.62189072373349</v>
      </c>
      <c r="R1008">
        <v>1000</v>
      </c>
      <c r="S1008" s="30">
        <v>343.29612450597375</v>
      </c>
      <c r="T1008" s="30">
        <v>287.98818013783051</v>
      </c>
      <c r="U1008" s="30">
        <v>209.08960868738006</v>
      </c>
      <c r="V1008" s="30">
        <v>111.77691892677649</v>
      </c>
      <c r="W1008" s="30">
        <v>0</v>
      </c>
      <c r="X1008" s="30">
        <v>0</v>
      </c>
    </row>
  </sheetData>
  <mergeCells count="7">
    <mergeCell ref="K7:P7"/>
    <mergeCell ref="S7:X7"/>
    <mergeCell ref="B34:C34"/>
    <mergeCell ref="B3:C3"/>
    <mergeCell ref="B24:C24"/>
    <mergeCell ref="B28:C28"/>
    <mergeCell ref="B11:C11"/>
  </mergeCells>
  <conditionalFormatting sqref="K9:P10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X10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247650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2</xdr:col>
                    <xdr:colOff>28575</xdr:colOff>
                    <xdr:row>11</xdr:row>
                    <xdr:rowOff>19050</xdr:rowOff>
                  </from>
                  <to>
                    <xdr:col>2</xdr:col>
                    <xdr:colOff>1304925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pinner 4">
              <controlPr defaultSize="0" autoPict="0">
                <anchor moveWithCells="1" sizeWithCells="1">
                  <from>
                    <xdr:col>3</xdr:col>
                    <xdr:colOff>0</xdr:colOff>
                    <xdr:row>16</xdr:row>
                    <xdr:rowOff>171450</xdr:rowOff>
                  </from>
                  <to>
                    <xdr:col>3</xdr:col>
                    <xdr:colOff>238125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pinner 5">
              <controlPr defaultSize="0" autoPict="0">
                <anchor moveWithCells="1" sizeWithCells="1">
                  <from>
                    <xdr:col>3</xdr:col>
                    <xdr:colOff>9525</xdr:colOff>
                    <xdr:row>20</xdr:row>
                    <xdr:rowOff>180975</xdr:rowOff>
                  </from>
                  <to>
                    <xdr:col>3</xdr:col>
                    <xdr:colOff>276225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5050"/>
  </sheetPr>
  <dimension ref="B2:Q1029"/>
  <sheetViews>
    <sheetView showGridLines="0" tabSelected="1" zoomScale="90" zoomScaleNormal="90" workbookViewId="0"/>
  </sheetViews>
  <sheetFormatPr defaultRowHeight="15" x14ac:dyDescent="0.25"/>
  <cols>
    <col min="2" max="2" width="24.7109375" customWidth="1"/>
    <col min="3" max="3" width="10.5703125" customWidth="1"/>
    <col min="4" max="4" width="11.85546875" customWidth="1"/>
    <col min="5" max="5" width="10.42578125" customWidth="1"/>
    <col min="6" max="6" width="13.5703125" customWidth="1"/>
    <col min="7" max="7" width="11" customWidth="1"/>
    <col min="8" max="8" width="11.5703125" customWidth="1"/>
    <col min="9" max="9" width="11.28515625" bestFit="1" customWidth="1"/>
    <col min="10" max="11" width="10.5703125" bestFit="1" customWidth="1"/>
  </cols>
  <sheetData>
    <row r="2" spans="2:17" ht="18.75" x14ac:dyDescent="0.3">
      <c r="B2" s="40" t="s">
        <v>58</v>
      </c>
      <c r="C2" s="40"/>
      <c r="D2" s="40"/>
      <c r="E2" s="40"/>
      <c r="F2" s="40"/>
      <c r="G2" s="40"/>
      <c r="H2" s="40"/>
      <c r="K2" s="40" t="s">
        <v>40</v>
      </c>
      <c r="L2" s="40"/>
      <c r="M2" s="40"/>
      <c r="N2" s="40"/>
      <c r="O2" s="40"/>
      <c r="P2" s="40"/>
      <c r="Q2" s="40"/>
    </row>
    <row r="4" spans="2:17" x14ac:dyDescent="0.25">
      <c r="B4" s="19" t="s">
        <v>49</v>
      </c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K4" s="19" t="s">
        <v>49</v>
      </c>
      <c r="L4" s="2">
        <v>1</v>
      </c>
      <c r="M4" s="2">
        <v>2</v>
      </c>
      <c r="N4" s="2">
        <v>3</v>
      </c>
      <c r="O4" s="2">
        <v>4</v>
      </c>
      <c r="P4" s="2">
        <v>5</v>
      </c>
      <c r="Q4" s="2">
        <v>6</v>
      </c>
    </row>
    <row r="5" spans="2:17" x14ac:dyDescent="0.25">
      <c r="B5" t="s">
        <v>2</v>
      </c>
      <c r="C5" s="31">
        <f>AVERAGE(Model!K$9:K$1008)</f>
        <v>2985.8318226693877</v>
      </c>
      <c r="D5" s="31">
        <f>AVERAGE(Model!L$9:L$1008)</f>
        <v>3075.5452364849325</v>
      </c>
      <c r="E5" s="31">
        <f>AVERAGE(Model!M$9:M$1008)</f>
        <v>2642.5964872876061</v>
      </c>
      <c r="F5" s="31">
        <f>AVERAGE(Model!N$9:N$1008)</f>
        <v>545.31611958271424</v>
      </c>
      <c r="G5" s="31">
        <f>AVERAGE(Model!O$9:O$1008)</f>
        <v>1246.1885755389196</v>
      </c>
      <c r="H5" s="31">
        <f>AVERAGE(Model!P$9:P$1008)</f>
        <v>-648.92583558760998</v>
      </c>
      <c r="K5" t="s">
        <v>2</v>
      </c>
      <c r="L5" s="31">
        <f>AVERAGE(Model!S$9:S$1008)</f>
        <v>255.95870695087672</v>
      </c>
      <c r="M5" s="31">
        <f>AVERAGE(Model!T9:T1008)</f>
        <v>294.33971685800867</v>
      </c>
      <c r="N5" s="31">
        <f>AVERAGE(Model!U9:U1008)</f>
        <v>158.68614258674</v>
      </c>
      <c r="O5" s="31">
        <f>AVERAGE(Model!V9:V1008)</f>
        <v>17.305400127709429</v>
      </c>
      <c r="P5" s="31">
        <f>AVERAGE(Model!W9:W1008)</f>
        <v>30.4644325426591</v>
      </c>
      <c r="Q5" s="31">
        <f>AVERAGE(Model!X9:X1008)</f>
        <v>2.2640615654824119</v>
      </c>
    </row>
    <row r="6" spans="2:17" x14ac:dyDescent="0.25">
      <c r="B6" t="s">
        <v>50</v>
      </c>
      <c r="C6" s="30">
        <f>_xlfn.STDEV.S(Model!K9:K1008)</f>
        <v>700.95675380955583</v>
      </c>
      <c r="D6" s="30">
        <f>_xlfn.STDEV.S(Model!L9:L1008)</f>
        <v>686.16796062506194</v>
      </c>
      <c r="E6" s="30">
        <f>_xlfn.STDEV.S(Model!M9:M1008)</f>
        <v>776.8727040046507</v>
      </c>
      <c r="F6" s="30">
        <f>_xlfn.STDEV.S(Model!N9:N1008)</f>
        <v>1224.2364590617954</v>
      </c>
      <c r="G6" s="30">
        <f>_xlfn.STDEV.S(Model!O9:O1008)</f>
        <v>1200.134036452617</v>
      </c>
      <c r="H6" s="30">
        <f>_xlfn.STDEV.S(Model!P9:P1008)</f>
        <v>1201.2686751125409</v>
      </c>
      <c r="K6" t="s">
        <v>50</v>
      </c>
      <c r="L6" s="31">
        <f>_xlfn.STDEV.S(Model!S$9:S$1008)</f>
        <v>63.876677915622899</v>
      </c>
      <c r="M6" s="31">
        <f>_xlfn.STDEV.S(Model!T$9:T$1008)</f>
        <v>65.299340041297626</v>
      </c>
      <c r="N6" s="31">
        <f>_xlfn.STDEV.S(Model!U$9:U$1008)</f>
        <v>63.623850447488621</v>
      </c>
      <c r="O6" s="31">
        <f>_xlfn.STDEV.S(Model!V$9:V$1008)</f>
        <v>37.949667964907789</v>
      </c>
      <c r="P6" s="31">
        <f>_xlfn.STDEV.S(Model!W$9:W$1008)</f>
        <v>53.586913747967472</v>
      </c>
      <c r="Q6" s="31">
        <f>_xlfn.STDEV.S(Model!X$9:X$1008)</f>
        <v>14.464755086223423</v>
      </c>
    </row>
    <row r="8" spans="2:17" x14ac:dyDescent="0.25">
      <c r="B8" s="19" t="s">
        <v>48</v>
      </c>
      <c r="C8" s="2">
        <v>1</v>
      </c>
      <c r="D8" s="2">
        <v>2</v>
      </c>
      <c r="E8" s="2">
        <v>3</v>
      </c>
      <c r="F8" s="2">
        <v>4</v>
      </c>
      <c r="G8" s="2">
        <v>5</v>
      </c>
      <c r="H8" s="2">
        <v>6</v>
      </c>
      <c r="K8" s="19" t="s">
        <v>48</v>
      </c>
      <c r="L8" s="2">
        <v>1</v>
      </c>
      <c r="M8" s="2">
        <v>2</v>
      </c>
      <c r="N8" s="2">
        <v>3</v>
      </c>
      <c r="O8" s="2">
        <v>4</v>
      </c>
      <c r="P8" s="2">
        <v>5</v>
      </c>
      <c r="Q8" s="2">
        <v>6</v>
      </c>
    </row>
    <row r="9" spans="2:17" x14ac:dyDescent="0.25">
      <c r="B9">
        <v>0.05</v>
      </c>
      <c r="C9" s="30">
        <f>_xlfn.PERCENTILE.INC(Model!K$9:K$1008,'Monte Carlo Dashboard'!$B9)</f>
        <v>1952.6335572347987</v>
      </c>
      <c r="D9" s="30">
        <f>_xlfn.PERCENTILE.INC(Model!L$9:L$1008,'Monte Carlo Dashboard'!$B9)</f>
        <v>2064.4389404467415</v>
      </c>
      <c r="E9" s="30">
        <f>_xlfn.PERCENTILE.INC(Model!M$9:M$1008,'Monte Carlo Dashboard'!$B9)</f>
        <v>1481.1055295771539</v>
      </c>
      <c r="F9" s="30">
        <f>_xlfn.PERCENTILE.INC(Model!N$9:N$1008,'Monte Carlo Dashboard'!$B9)</f>
        <v>-1402.8984129180485</v>
      </c>
      <c r="G9" s="30">
        <f>_xlfn.PERCENTILE.INC(Model!O$9:O$1008,'Monte Carlo Dashboard'!$B9)</f>
        <v>-736.81252215332938</v>
      </c>
      <c r="H9" s="30">
        <f>_xlfn.PERCENTILE.INC(Model!P$9:P$1008,'Monte Carlo Dashboard'!$B9)</f>
        <v>-2587.2172049328983</v>
      </c>
      <c r="K9">
        <v>0.05</v>
      </c>
      <c r="L9" s="30">
        <f>_xlfn.PERCENTILE.INC(Model!S$9:S$1008,$K9)</f>
        <v>154.20935452752289</v>
      </c>
      <c r="M9" s="30">
        <f>_xlfn.PERCENTILE.INC(Model!T$9:T$1008,$K9)</f>
        <v>192.43292351177851</v>
      </c>
      <c r="N9" s="30">
        <f>_xlfn.PERCENTILE.INC(Model!U$9:U$1008,$K9)</f>
        <v>59.54140935935866</v>
      </c>
      <c r="O9" s="30">
        <f>_xlfn.PERCENTILE.INC(Model!V$9:V$1008,$K9)</f>
        <v>0</v>
      </c>
      <c r="P9" s="30">
        <f>_xlfn.PERCENTILE.INC(Model!W$9:W$1008,$K9)</f>
        <v>0</v>
      </c>
      <c r="Q9" s="30">
        <f>_xlfn.PERCENTILE.INC(Model!X$9:X$1008,$K9)</f>
        <v>0</v>
      </c>
    </row>
    <row r="10" spans="2:17" x14ac:dyDescent="0.25">
      <c r="B10">
        <v>0.25</v>
      </c>
      <c r="C10" s="30">
        <f>_xlfn.PERCENTILE.INC(Model!K$9:K$1008,'Monte Carlo Dashboard'!$B10)</f>
        <v>2463.8143969874995</v>
      </c>
      <c r="D10" s="30">
        <f>_xlfn.PERCENTILE.INC(Model!L$9:L$1008,'Monte Carlo Dashboard'!$B10)</f>
        <v>2565.2742236840481</v>
      </c>
      <c r="E10" s="30">
        <f>_xlfn.PERCENTILE.INC(Model!M$9:M$1008,'Monte Carlo Dashboard'!$B10)</f>
        <v>2067.3885739910152</v>
      </c>
      <c r="F10" s="30">
        <f>_xlfn.PERCENTILE.INC(Model!N$9:N$1008,'Monte Carlo Dashboard'!$B10)</f>
        <v>-287.42855331046326</v>
      </c>
      <c r="G10" s="30">
        <f>_xlfn.PERCENTILE.INC(Model!O$9:O$1008,'Monte Carlo Dashboard'!$B10)</f>
        <v>432.11603885089335</v>
      </c>
      <c r="H10" s="30">
        <f>_xlfn.PERCENTILE.INC(Model!P$9:P$1008,'Monte Carlo Dashboard'!$B10)</f>
        <v>-1478.5866179318414</v>
      </c>
      <c r="K10">
        <v>0.25</v>
      </c>
      <c r="L10" s="30">
        <f>_xlfn.PERCENTILE.INC(Model!S$9:S$1008,$K10)</f>
        <v>212.32807818800507</v>
      </c>
      <c r="M10" s="30">
        <f>_xlfn.PERCENTILE.INC(Model!T$9:T$1008,$K10)</f>
        <v>246.91258162943637</v>
      </c>
      <c r="N10" s="30">
        <f>_xlfn.PERCENTILE.INC(Model!U$9:U$1008,$K10)</f>
        <v>115.78059975347234</v>
      </c>
      <c r="O10" s="30">
        <f>_xlfn.PERCENTILE.INC(Model!V$9:V$1008,$K10)</f>
        <v>0</v>
      </c>
      <c r="P10" s="30">
        <f>_xlfn.PERCENTILE.INC(Model!W$9:W$1008,$K10)</f>
        <v>0</v>
      </c>
      <c r="Q10" s="30">
        <f>_xlfn.PERCENTILE.INC(Model!X$9:X$1008,$K10)</f>
        <v>0</v>
      </c>
    </row>
    <row r="11" spans="2:17" x14ac:dyDescent="0.25">
      <c r="B11">
        <v>0.5</v>
      </c>
      <c r="C11" s="30">
        <f>_xlfn.PERCENTILE.INC(Model!K$9:K$1008,'Monte Carlo Dashboard'!$B11)</f>
        <v>2839.5063578842673</v>
      </c>
      <c r="D11" s="30">
        <f>_xlfn.PERCENTILE.INC(Model!L$9:L$1008,'Monte Carlo Dashboard'!$B11)</f>
        <v>2937.0362176839799</v>
      </c>
      <c r="E11" s="30">
        <f>_xlfn.PERCENTILE.INC(Model!M$9:M$1008,'Monte Carlo Dashboard'!$B11)</f>
        <v>2535.8845099991586</v>
      </c>
      <c r="F11" s="30">
        <f>_xlfn.PERCENTILE.INC(Model!N$9:N$1008,'Monte Carlo Dashboard'!$B11)</f>
        <v>494.61417487633389</v>
      </c>
      <c r="G11" s="30">
        <f>_xlfn.PERCENTILE.INC(Model!O$9:O$1008,'Monte Carlo Dashboard'!$B11)</f>
        <v>1193.6967800207694</v>
      </c>
      <c r="H11" s="30">
        <f>_xlfn.PERCENTILE.INC(Model!P$9:P$1008,'Monte Carlo Dashboard'!$B11)</f>
        <v>-655.55870975705011</v>
      </c>
      <c r="K11">
        <v>0.5</v>
      </c>
      <c r="L11" s="30">
        <f>_xlfn.PERCENTILE.INC(Model!S$9:S$1008,$K11)</f>
        <v>252.47744251910015</v>
      </c>
      <c r="M11" s="30">
        <f>_xlfn.PERCENTILE.INC(Model!T$9:T$1008,$K11)</f>
        <v>292.45955143226229</v>
      </c>
      <c r="N11" s="30">
        <f>_xlfn.PERCENTILE.INC(Model!U$9:U$1008,$K11)</f>
        <v>154.79883313485354</v>
      </c>
      <c r="O11" s="30">
        <f>_xlfn.PERCENTILE.INC(Model!V$9:V$1008,$K11)</f>
        <v>0</v>
      </c>
      <c r="P11" s="30">
        <f>_xlfn.PERCENTILE.INC(Model!W$9:W$1008,$K11)</f>
        <v>0</v>
      </c>
      <c r="Q11" s="30">
        <f>_xlfn.PERCENTILE.INC(Model!X$9:X$1008,$K11)</f>
        <v>0</v>
      </c>
    </row>
    <row r="12" spans="2:17" x14ac:dyDescent="0.25">
      <c r="B12">
        <v>0.75</v>
      </c>
      <c r="C12" s="30">
        <f>_xlfn.PERCENTILE.INC(Model!K$9:K$1008,'Monte Carlo Dashboard'!$B12)</f>
        <v>3627.1510464172734</v>
      </c>
      <c r="D12" s="30">
        <f>_xlfn.PERCENTILE.INC(Model!L$9:L$1008,'Monte Carlo Dashboard'!$B12)</f>
        <v>3666.6717485099771</v>
      </c>
      <c r="E12" s="30">
        <f>_xlfn.PERCENTILE.INC(Model!M$9:M$1008,'Monte Carlo Dashboard'!$B12)</f>
        <v>3371.2153920040582</v>
      </c>
      <c r="F12" s="30">
        <f>_xlfn.PERCENTILE.INC(Model!N$9:N$1008,'Monte Carlo Dashboard'!$B12)</f>
        <v>1347.9373218186593</v>
      </c>
      <c r="G12" s="30">
        <f>_xlfn.PERCENTILE.INC(Model!O$9:O$1008,'Monte Carlo Dashboard'!$B12)</f>
        <v>2087.8568318252783</v>
      </c>
      <c r="H12" s="30">
        <f>_xlfn.PERCENTILE.INC(Model!P$9:P$1008,'Monte Carlo Dashboard'!$B12)</f>
        <v>127.48952881883724</v>
      </c>
      <c r="K12">
        <v>0.75</v>
      </c>
      <c r="L12" s="30">
        <f>_xlfn.PERCENTILE.INC(Model!S$9:S$1008,$K12)</f>
        <v>302.11389417924619</v>
      </c>
      <c r="M12" s="30">
        <f>_xlfn.PERCENTILE.INC(Model!T$9:T$1008,$K12)</f>
        <v>338.74168995839347</v>
      </c>
      <c r="N12" s="30">
        <f>_xlfn.PERCENTILE.INC(Model!U$9:U$1008,$K12)</f>
        <v>204.56362438321887</v>
      </c>
      <c r="O12" s="30">
        <f>_xlfn.PERCENTILE.INC(Model!V$9:V$1008,$K12)</f>
        <v>10.838766052531611</v>
      </c>
      <c r="P12" s="30">
        <f>_xlfn.PERCENTILE.INC(Model!W$9:W$1008,$K12)</f>
        <v>44.053264476565971</v>
      </c>
      <c r="Q12" s="30">
        <f>_xlfn.PERCENTILE.INC(Model!X$9:X$1008,$K12)</f>
        <v>0</v>
      </c>
    </row>
    <row r="13" spans="2:17" x14ac:dyDescent="0.25">
      <c r="B13">
        <v>0.95</v>
      </c>
      <c r="C13" s="30">
        <f>_xlfn.PERCENTILE.INC(Model!K$9:K$1008,'Monte Carlo Dashboard'!$B13)</f>
        <v>4187.3557349345974</v>
      </c>
      <c r="D13" s="30">
        <f>_xlfn.PERCENTILE.INC(Model!L$9:L$1008,'Monte Carlo Dashboard'!$B13)</f>
        <v>4230.6501468123588</v>
      </c>
      <c r="E13" s="30">
        <f>_xlfn.PERCENTILE.INC(Model!M$9:M$1008,'Monte Carlo Dashboard'!$B13)</f>
        <v>3910.7628785425577</v>
      </c>
      <c r="F13" s="30">
        <f>_xlfn.PERCENTILE.INC(Model!N$9:N$1008,'Monte Carlo Dashboard'!$B13)</f>
        <v>2608.3615366975441</v>
      </c>
      <c r="G13" s="30">
        <f>_xlfn.PERCENTILE.INC(Model!O$9:O$1008,'Monte Carlo Dashboard'!$B13)</f>
        <v>3284.4325213817792</v>
      </c>
      <c r="H13" s="30">
        <f>_xlfn.PERCENTILE.INC(Model!P$9:P$1008,'Monte Carlo Dashboard'!$B13)</f>
        <v>1425.7692656259667</v>
      </c>
      <c r="K13">
        <v>0.95</v>
      </c>
      <c r="L13" s="30">
        <f>_xlfn.PERCENTILE.INC(Model!S$9:S$1008,$K13)</f>
        <v>361.54296265288173</v>
      </c>
      <c r="M13" s="30">
        <f>_xlfn.PERCENTILE.INC(Model!T$9:T$1008,$K13)</f>
        <v>405.01505645213331</v>
      </c>
      <c r="N13" s="30">
        <f>_xlfn.PERCENTILE.INC(Model!U$9:U$1008,$K13)</f>
        <v>265.15281574811786</v>
      </c>
      <c r="O13" s="30">
        <f>_xlfn.PERCENTILE.INC(Model!V$9:V$1008,$K13)</f>
        <v>104.90470533615009</v>
      </c>
      <c r="P13" s="30">
        <f>_xlfn.PERCENTILE.INC(Model!W$9:W$1008,$K13)</f>
        <v>149.9340724674982</v>
      </c>
      <c r="Q13" s="30">
        <f>_xlfn.PERCENTILE.INC(Model!X$9:X$1008,$K13)</f>
        <v>0</v>
      </c>
    </row>
    <row r="15" spans="2:17" ht="15.75" thickBot="1" x14ac:dyDescent="0.3"/>
    <row r="16" spans="2:17" ht="15.75" thickBot="1" x14ac:dyDescent="0.3">
      <c r="B16" t="s">
        <v>30</v>
      </c>
      <c r="C16" s="29" t="str">
        <f ca="1">Model!F35</f>
        <v>December</v>
      </c>
      <c r="F16" s="25" t="s">
        <v>56</v>
      </c>
      <c r="G16" s="26">
        <f>INDEX(C4:H5,1,MATCH(MAX(C5:H5),C5:H5,0))</f>
        <v>2</v>
      </c>
      <c r="M16" s="25" t="s">
        <v>62</v>
      </c>
      <c r="N16" s="36"/>
      <c r="O16" s="36"/>
      <c r="P16" s="36"/>
      <c r="Q16" s="37">
        <f>INDEX(L4:Q5,2,MATCH(G16,L4:Q4,0))</f>
        <v>294.33971685800867</v>
      </c>
    </row>
    <row r="18" spans="3:9" x14ac:dyDescent="0.25">
      <c r="F18" s="27" t="s">
        <v>60</v>
      </c>
      <c r="G18" s="28" t="str">
        <f>IF(OR(G16=1,G16=4),"None",IF(OR(G16=2,G16=5),"Possible",IF(OR(G16=3,G16=6),"Probable","")))</f>
        <v>Possible</v>
      </c>
    </row>
    <row r="19" spans="3:9" x14ac:dyDescent="0.25">
      <c r="F19" s="33"/>
    </row>
    <row r="20" spans="3:9" x14ac:dyDescent="0.25">
      <c r="F20" s="34" t="s">
        <v>61</v>
      </c>
      <c r="G20" s="35">
        <f>D5-C5</f>
        <v>89.713413815544754</v>
      </c>
    </row>
    <row r="26" spans="3:9" x14ac:dyDescent="0.25">
      <c r="C26" s="10"/>
      <c r="D26" s="10"/>
      <c r="E26" s="10"/>
      <c r="F26" s="10"/>
      <c r="G26" s="10"/>
      <c r="H26" s="10"/>
    </row>
    <row r="28" spans="3:9" x14ac:dyDescent="0.25">
      <c r="C28" s="1"/>
    </row>
    <row r="29" spans="3:9" x14ac:dyDescent="0.25">
      <c r="D29" s="10"/>
      <c r="E29" s="10"/>
      <c r="F29" s="10"/>
      <c r="G29" s="10"/>
      <c r="H29" s="10"/>
      <c r="I29" s="10"/>
    </row>
    <row r="30" spans="3:9" x14ac:dyDescent="0.25">
      <c r="D30" s="10"/>
      <c r="E30" s="10"/>
      <c r="F30" s="10"/>
      <c r="G30" s="10"/>
      <c r="H30" s="10"/>
      <c r="I30" s="10"/>
    </row>
    <row r="31" spans="3:9" x14ac:dyDescent="0.25">
      <c r="D31" s="10"/>
      <c r="E31" s="10"/>
      <c r="F31" s="10"/>
      <c r="G31" s="10"/>
      <c r="H31" s="10"/>
      <c r="I31" s="10"/>
    </row>
    <row r="32" spans="3:9" x14ac:dyDescent="0.25">
      <c r="D32" s="10"/>
      <c r="E32" s="10"/>
      <c r="F32" s="10"/>
      <c r="G32" s="10"/>
      <c r="H32" s="10"/>
      <c r="I32" s="10"/>
    </row>
    <row r="33" spans="4:9" x14ac:dyDescent="0.25">
      <c r="D33" s="10"/>
      <c r="E33" s="10"/>
      <c r="F33" s="10"/>
      <c r="G33" s="10"/>
      <c r="H33" s="10"/>
      <c r="I33" s="10"/>
    </row>
    <row r="34" spans="4:9" x14ac:dyDescent="0.25">
      <c r="D34" s="10"/>
      <c r="E34" s="10"/>
      <c r="F34" s="10"/>
      <c r="G34" s="10"/>
      <c r="H34" s="10"/>
      <c r="I34" s="10"/>
    </row>
    <row r="35" spans="4:9" x14ac:dyDescent="0.25">
      <c r="D35" s="10"/>
      <c r="E35" s="10"/>
      <c r="F35" s="10"/>
      <c r="G35" s="10"/>
      <c r="H35" s="10"/>
      <c r="I35" s="10"/>
    </row>
    <row r="36" spans="4:9" x14ac:dyDescent="0.25">
      <c r="D36" s="10"/>
      <c r="E36" s="10"/>
      <c r="F36" s="10"/>
      <c r="G36" s="10"/>
      <c r="H36" s="10"/>
      <c r="I36" s="10"/>
    </row>
    <row r="37" spans="4:9" x14ac:dyDescent="0.25">
      <c r="D37" s="10"/>
      <c r="E37" s="10"/>
      <c r="F37" s="10"/>
      <c r="G37" s="10"/>
      <c r="H37" s="10"/>
      <c r="I37" s="10"/>
    </row>
    <row r="38" spans="4:9" x14ac:dyDescent="0.25">
      <c r="D38" s="10"/>
      <c r="E38" s="10"/>
      <c r="F38" s="10"/>
      <c r="G38" s="10"/>
      <c r="H38" s="10"/>
      <c r="I38" s="10"/>
    </row>
    <row r="39" spans="4:9" x14ac:dyDescent="0.25">
      <c r="D39" s="10"/>
      <c r="E39" s="10"/>
      <c r="F39" s="10"/>
      <c r="G39" s="10"/>
      <c r="H39" s="10"/>
      <c r="I39" s="10"/>
    </row>
    <row r="40" spans="4:9" x14ac:dyDescent="0.25">
      <c r="D40" s="10"/>
      <c r="E40" s="10"/>
      <c r="F40" s="10"/>
      <c r="G40" s="10"/>
      <c r="H40" s="10"/>
      <c r="I40" s="10"/>
    </row>
    <row r="41" spans="4:9" x14ac:dyDescent="0.25">
      <c r="D41" s="10"/>
      <c r="E41" s="10"/>
      <c r="F41" s="10"/>
      <c r="G41" s="10"/>
      <c r="H41" s="10"/>
      <c r="I41" s="10"/>
    </row>
    <row r="42" spans="4:9" x14ac:dyDescent="0.25">
      <c r="D42" s="10"/>
      <c r="E42" s="10"/>
      <c r="F42" s="10"/>
      <c r="G42" s="10"/>
      <c r="H42" s="10"/>
      <c r="I42" s="10"/>
    </row>
    <row r="43" spans="4:9" x14ac:dyDescent="0.25">
      <c r="D43" s="10"/>
      <c r="E43" s="10"/>
      <c r="F43" s="10"/>
      <c r="G43" s="10"/>
      <c r="H43" s="10"/>
      <c r="I43" s="10"/>
    </row>
    <row r="44" spans="4:9" x14ac:dyDescent="0.25">
      <c r="D44" s="10"/>
      <c r="E44" s="10"/>
      <c r="F44" s="10"/>
      <c r="G44" s="10"/>
      <c r="H44" s="10"/>
      <c r="I44" s="10"/>
    </row>
    <row r="45" spans="4:9" x14ac:dyDescent="0.25">
      <c r="D45" s="10"/>
      <c r="E45" s="10"/>
      <c r="F45" s="10"/>
      <c r="G45" s="10"/>
      <c r="H45" s="10"/>
      <c r="I45" s="10"/>
    </row>
    <row r="46" spans="4:9" x14ac:dyDescent="0.25">
      <c r="D46" s="10"/>
      <c r="E46" s="10"/>
      <c r="F46" s="10"/>
      <c r="G46" s="10"/>
      <c r="H46" s="10"/>
      <c r="I46" s="10"/>
    </row>
    <row r="47" spans="4:9" x14ac:dyDescent="0.25">
      <c r="D47" s="10"/>
      <c r="E47" s="10"/>
      <c r="F47" s="10"/>
      <c r="G47" s="10"/>
      <c r="H47" s="10"/>
      <c r="I47" s="10"/>
    </row>
    <row r="48" spans="4:9" x14ac:dyDescent="0.25">
      <c r="D48" s="10"/>
      <c r="E48" s="10"/>
      <c r="F48" s="10"/>
      <c r="G48" s="10"/>
      <c r="H48" s="10"/>
      <c r="I48" s="10"/>
    </row>
    <row r="49" spans="4:9" x14ac:dyDescent="0.25">
      <c r="D49" s="10"/>
      <c r="E49" s="10"/>
      <c r="F49" s="10"/>
      <c r="G49" s="10"/>
      <c r="H49" s="10"/>
      <c r="I49" s="10"/>
    </row>
    <row r="50" spans="4:9" x14ac:dyDescent="0.25">
      <c r="D50" s="10"/>
      <c r="E50" s="10"/>
      <c r="F50" s="10"/>
      <c r="G50" s="10"/>
      <c r="H50" s="10"/>
      <c r="I50" s="10"/>
    </row>
    <row r="51" spans="4:9" x14ac:dyDescent="0.25">
      <c r="D51" s="10"/>
      <c r="E51" s="10"/>
      <c r="F51" s="10"/>
      <c r="G51" s="10"/>
      <c r="H51" s="10"/>
      <c r="I51" s="10"/>
    </row>
    <row r="52" spans="4:9" x14ac:dyDescent="0.25">
      <c r="D52" s="10"/>
      <c r="E52" s="10"/>
      <c r="F52" s="10"/>
      <c r="G52" s="10"/>
      <c r="H52" s="10"/>
      <c r="I52" s="10"/>
    </row>
    <row r="53" spans="4:9" x14ac:dyDescent="0.25">
      <c r="D53" s="10"/>
      <c r="E53" s="10"/>
      <c r="F53" s="10"/>
      <c r="G53" s="10"/>
      <c r="H53" s="10"/>
      <c r="I53" s="10"/>
    </row>
    <row r="54" spans="4:9" x14ac:dyDescent="0.25">
      <c r="D54" s="10"/>
      <c r="E54" s="10"/>
      <c r="F54" s="10"/>
      <c r="G54" s="10"/>
      <c r="H54" s="10"/>
      <c r="I54" s="10"/>
    </row>
    <row r="55" spans="4:9" x14ac:dyDescent="0.25">
      <c r="D55" s="10"/>
      <c r="E55" s="10"/>
      <c r="F55" s="10"/>
      <c r="G55" s="10"/>
      <c r="H55" s="10"/>
      <c r="I55" s="10"/>
    </row>
    <row r="56" spans="4:9" x14ac:dyDescent="0.25">
      <c r="D56" s="10"/>
      <c r="E56" s="10"/>
      <c r="F56" s="10"/>
      <c r="G56" s="10"/>
      <c r="H56" s="10"/>
      <c r="I56" s="10"/>
    </row>
    <row r="57" spans="4:9" x14ac:dyDescent="0.25">
      <c r="D57" s="10"/>
      <c r="E57" s="10"/>
      <c r="F57" s="10"/>
      <c r="G57" s="10"/>
      <c r="H57" s="10"/>
      <c r="I57" s="10"/>
    </row>
    <row r="58" spans="4:9" x14ac:dyDescent="0.25">
      <c r="D58" s="10"/>
      <c r="E58" s="10"/>
      <c r="F58" s="10"/>
      <c r="G58" s="10"/>
      <c r="H58" s="10"/>
      <c r="I58" s="10"/>
    </row>
    <row r="59" spans="4:9" x14ac:dyDescent="0.25">
      <c r="D59" s="10"/>
      <c r="E59" s="10"/>
      <c r="F59" s="10"/>
      <c r="G59" s="10"/>
      <c r="H59" s="10"/>
      <c r="I59" s="10"/>
    </row>
    <row r="60" spans="4:9" x14ac:dyDescent="0.25">
      <c r="D60" s="10"/>
      <c r="E60" s="10"/>
      <c r="F60" s="10"/>
      <c r="G60" s="10"/>
      <c r="H60" s="10"/>
      <c r="I60" s="10"/>
    </row>
    <row r="61" spans="4:9" x14ac:dyDescent="0.25">
      <c r="D61" s="10"/>
      <c r="E61" s="10"/>
      <c r="F61" s="10"/>
      <c r="G61" s="10"/>
      <c r="H61" s="10"/>
      <c r="I61" s="10"/>
    </row>
    <row r="62" spans="4:9" x14ac:dyDescent="0.25">
      <c r="D62" s="10"/>
      <c r="E62" s="10"/>
      <c r="F62" s="10"/>
      <c r="G62" s="10"/>
      <c r="H62" s="10"/>
      <c r="I62" s="10"/>
    </row>
    <row r="63" spans="4:9" x14ac:dyDescent="0.25">
      <c r="D63" s="10"/>
      <c r="E63" s="10"/>
      <c r="F63" s="10"/>
      <c r="G63" s="10"/>
      <c r="H63" s="10"/>
      <c r="I63" s="10"/>
    </row>
    <row r="64" spans="4:9" x14ac:dyDescent="0.25">
      <c r="D64" s="10"/>
      <c r="E64" s="10"/>
      <c r="F64" s="10"/>
      <c r="G64" s="10"/>
      <c r="H64" s="10"/>
      <c r="I64" s="10"/>
    </row>
    <row r="65" spans="4:9" x14ac:dyDescent="0.25">
      <c r="D65" s="10"/>
      <c r="E65" s="10"/>
      <c r="F65" s="10"/>
      <c r="G65" s="10"/>
      <c r="H65" s="10"/>
      <c r="I65" s="10"/>
    </row>
    <row r="66" spans="4:9" x14ac:dyDescent="0.25">
      <c r="D66" s="10"/>
      <c r="E66" s="10"/>
      <c r="F66" s="10"/>
      <c r="G66" s="10"/>
      <c r="H66" s="10"/>
      <c r="I66" s="10"/>
    </row>
    <row r="67" spans="4:9" x14ac:dyDescent="0.25">
      <c r="D67" s="10"/>
      <c r="E67" s="10"/>
      <c r="F67" s="10"/>
      <c r="G67" s="10"/>
      <c r="H67" s="10"/>
      <c r="I67" s="10"/>
    </row>
    <row r="68" spans="4:9" x14ac:dyDescent="0.25">
      <c r="D68" s="10"/>
      <c r="E68" s="10"/>
      <c r="F68" s="10"/>
      <c r="G68" s="10"/>
      <c r="H68" s="10"/>
      <c r="I68" s="10"/>
    </row>
    <row r="69" spans="4:9" x14ac:dyDescent="0.25">
      <c r="D69" s="10"/>
      <c r="E69" s="10"/>
      <c r="F69" s="10"/>
      <c r="G69" s="10"/>
      <c r="H69" s="10"/>
      <c r="I69" s="10"/>
    </row>
    <row r="70" spans="4:9" x14ac:dyDescent="0.25">
      <c r="D70" s="10"/>
      <c r="E70" s="10"/>
      <c r="F70" s="10"/>
      <c r="G70" s="10"/>
      <c r="H70" s="10"/>
      <c r="I70" s="10"/>
    </row>
    <row r="71" spans="4:9" x14ac:dyDescent="0.25">
      <c r="D71" s="10"/>
      <c r="E71" s="10"/>
      <c r="F71" s="10"/>
      <c r="G71" s="10"/>
      <c r="H71" s="10"/>
      <c r="I71" s="10"/>
    </row>
    <row r="72" spans="4:9" x14ac:dyDescent="0.25">
      <c r="D72" s="10"/>
      <c r="E72" s="10"/>
      <c r="F72" s="10"/>
      <c r="G72" s="10"/>
      <c r="H72" s="10"/>
      <c r="I72" s="10"/>
    </row>
    <row r="73" spans="4:9" x14ac:dyDescent="0.25">
      <c r="D73" s="10"/>
      <c r="E73" s="10"/>
      <c r="F73" s="10"/>
      <c r="G73" s="10"/>
      <c r="H73" s="10"/>
      <c r="I73" s="10"/>
    </row>
    <row r="74" spans="4:9" x14ac:dyDescent="0.25">
      <c r="D74" s="10"/>
      <c r="E74" s="10"/>
      <c r="F74" s="10"/>
      <c r="G74" s="10"/>
      <c r="H74" s="10"/>
      <c r="I74" s="10"/>
    </row>
    <row r="75" spans="4:9" x14ac:dyDescent="0.25">
      <c r="D75" s="10"/>
      <c r="E75" s="10"/>
      <c r="F75" s="10"/>
      <c r="G75" s="10"/>
      <c r="H75" s="10"/>
      <c r="I75" s="10"/>
    </row>
    <row r="76" spans="4:9" x14ac:dyDescent="0.25">
      <c r="D76" s="10"/>
      <c r="E76" s="10"/>
      <c r="F76" s="10"/>
      <c r="G76" s="10"/>
      <c r="H76" s="10"/>
      <c r="I76" s="10"/>
    </row>
    <row r="77" spans="4:9" x14ac:dyDescent="0.25">
      <c r="D77" s="10"/>
      <c r="E77" s="10"/>
      <c r="F77" s="10"/>
      <c r="G77" s="10"/>
      <c r="H77" s="10"/>
      <c r="I77" s="10"/>
    </row>
    <row r="78" spans="4:9" x14ac:dyDescent="0.25">
      <c r="D78" s="10"/>
      <c r="E78" s="10"/>
      <c r="F78" s="10"/>
      <c r="G78" s="10"/>
      <c r="H78" s="10"/>
      <c r="I78" s="10"/>
    </row>
    <row r="79" spans="4:9" x14ac:dyDescent="0.25">
      <c r="D79" s="10"/>
      <c r="E79" s="10"/>
      <c r="F79" s="10"/>
      <c r="G79" s="10"/>
      <c r="H79" s="10"/>
      <c r="I79" s="10"/>
    </row>
    <row r="80" spans="4:9" x14ac:dyDescent="0.25">
      <c r="D80" s="10"/>
      <c r="E80" s="10"/>
      <c r="F80" s="10"/>
      <c r="G80" s="10"/>
      <c r="H80" s="10"/>
      <c r="I80" s="10"/>
    </row>
    <row r="81" spans="4:9" x14ac:dyDescent="0.25">
      <c r="D81" s="10"/>
      <c r="E81" s="10"/>
      <c r="F81" s="10"/>
      <c r="G81" s="10"/>
      <c r="H81" s="10"/>
      <c r="I81" s="10"/>
    </row>
    <row r="82" spans="4:9" x14ac:dyDescent="0.25">
      <c r="D82" s="10"/>
      <c r="E82" s="10"/>
      <c r="F82" s="10"/>
      <c r="G82" s="10"/>
      <c r="H82" s="10"/>
      <c r="I82" s="10"/>
    </row>
    <row r="83" spans="4:9" x14ac:dyDescent="0.25">
      <c r="D83" s="10"/>
      <c r="E83" s="10"/>
      <c r="F83" s="10"/>
      <c r="G83" s="10"/>
      <c r="H83" s="10"/>
      <c r="I83" s="10"/>
    </row>
    <row r="84" spans="4:9" x14ac:dyDescent="0.25">
      <c r="D84" s="10"/>
      <c r="E84" s="10"/>
      <c r="F84" s="10"/>
      <c r="G84" s="10"/>
      <c r="H84" s="10"/>
      <c r="I84" s="10"/>
    </row>
    <row r="85" spans="4:9" x14ac:dyDescent="0.25">
      <c r="D85" s="10"/>
      <c r="E85" s="10"/>
      <c r="F85" s="10"/>
      <c r="G85" s="10"/>
      <c r="H85" s="10"/>
      <c r="I85" s="10"/>
    </row>
    <row r="86" spans="4:9" x14ac:dyDescent="0.25">
      <c r="D86" s="10"/>
      <c r="E86" s="10"/>
      <c r="F86" s="10"/>
      <c r="G86" s="10"/>
      <c r="H86" s="10"/>
      <c r="I86" s="10"/>
    </row>
    <row r="87" spans="4:9" x14ac:dyDescent="0.25">
      <c r="D87" s="10"/>
      <c r="E87" s="10"/>
      <c r="F87" s="10"/>
      <c r="G87" s="10"/>
      <c r="H87" s="10"/>
      <c r="I87" s="10"/>
    </row>
    <row r="88" spans="4:9" x14ac:dyDescent="0.25">
      <c r="D88" s="10"/>
      <c r="E88" s="10"/>
      <c r="F88" s="10"/>
      <c r="G88" s="10"/>
      <c r="H88" s="10"/>
      <c r="I88" s="10"/>
    </row>
    <row r="89" spans="4:9" x14ac:dyDescent="0.25">
      <c r="D89" s="10"/>
      <c r="E89" s="10"/>
      <c r="F89" s="10"/>
      <c r="G89" s="10"/>
      <c r="H89" s="10"/>
      <c r="I89" s="10"/>
    </row>
    <row r="90" spans="4:9" x14ac:dyDescent="0.25">
      <c r="D90" s="10"/>
      <c r="E90" s="10"/>
      <c r="F90" s="10"/>
      <c r="G90" s="10"/>
      <c r="H90" s="10"/>
      <c r="I90" s="10"/>
    </row>
    <row r="91" spans="4:9" x14ac:dyDescent="0.25">
      <c r="D91" s="10"/>
      <c r="E91" s="10"/>
      <c r="F91" s="10"/>
      <c r="G91" s="10"/>
      <c r="H91" s="10"/>
      <c r="I91" s="10"/>
    </row>
    <row r="92" spans="4:9" x14ac:dyDescent="0.25">
      <c r="D92" s="10"/>
      <c r="E92" s="10"/>
      <c r="F92" s="10"/>
      <c r="G92" s="10"/>
      <c r="H92" s="10"/>
      <c r="I92" s="10"/>
    </row>
    <row r="93" spans="4:9" x14ac:dyDescent="0.25">
      <c r="D93" s="10"/>
      <c r="E93" s="10"/>
      <c r="F93" s="10"/>
      <c r="G93" s="10"/>
      <c r="H93" s="10"/>
      <c r="I93" s="10"/>
    </row>
    <row r="94" spans="4:9" x14ac:dyDescent="0.25">
      <c r="D94" s="10"/>
      <c r="E94" s="10"/>
      <c r="F94" s="10"/>
      <c r="G94" s="10"/>
      <c r="H94" s="10"/>
      <c r="I94" s="10"/>
    </row>
    <row r="95" spans="4:9" x14ac:dyDescent="0.25">
      <c r="D95" s="10"/>
      <c r="E95" s="10"/>
      <c r="F95" s="10"/>
      <c r="G95" s="10"/>
      <c r="H95" s="10"/>
      <c r="I95" s="10"/>
    </row>
    <row r="96" spans="4:9" x14ac:dyDescent="0.25">
      <c r="D96" s="10"/>
      <c r="E96" s="10"/>
      <c r="F96" s="10"/>
      <c r="G96" s="10"/>
      <c r="H96" s="10"/>
      <c r="I96" s="10"/>
    </row>
    <row r="97" spans="4:9" x14ac:dyDescent="0.25">
      <c r="D97" s="10"/>
      <c r="E97" s="10"/>
      <c r="F97" s="10"/>
      <c r="G97" s="10"/>
      <c r="H97" s="10"/>
      <c r="I97" s="10"/>
    </row>
    <row r="98" spans="4:9" x14ac:dyDescent="0.25">
      <c r="D98" s="10"/>
      <c r="E98" s="10"/>
      <c r="F98" s="10"/>
      <c r="G98" s="10"/>
      <c r="H98" s="10"/>
      <c r="I98" s="10"/>
    </row>
    <row r="99" spans="4:9" x14ac:dyDescent="0.25">
      <c r="D99" s="10"/>
      <c r="E99" s="10"/>
      <c r="F99" s="10"/>
      <c r="G99" s="10"/>
      <c r="H99" s="10"/>
      <c r="I99" s="10"/>
    </row>
    <row r="100" spans="4:9" x14ac:dyDescent="0.25">
      <c r="D100" s="10"/>
      <c r="E100" s="10"/>
      <c r="F100" s="10"/>
      <c r="G100" s="10"/>
      <c r="H100" s="10"/>
      <c r="I100" s="10"/>
    </row>
    <row r="101" spans="4:9" x14ac:dyDescent="0.25">
      <c r="D101" s="10"/>
      <c r="E101" s="10"/>
      <c r="F101" s="10"/>
      <c r="G101" s="10"/>
      <c r="H101" s="10"/>
      <c r="I101" s="10"/>
    </row>
    <row r="102" spans="4:9" x14ac:dyDescent="0.25">
      <c r="D102" s="10"/>
      <c r="E102" s="10"/>
      <c r="F102" s="10"/>
      <c r="G102" s="10"/>
      <c r="H102" s="10"/>
      <c r="I102" s="10"/>
    </row>
    <row r="103" spans="4:9" x14ac:dyDescent="0.25">
      <c r="D103" s="10"/>
      <c r="E103" s="10"/>
      <c r="F103" s="10"/>
      <c r="G103" s="10"/>
      <c r="H103" s="10"/>
      <c r="I103" s="10"/>
    </row>
    <row r="104" spans="4:9" x14ac:dyDescent="0.25">
      <c r="D104" s="10"/>
      <c r="E104" s="10"/>
      <c r="F104" s="10"/>
      <c r="G104" s="10"/>
      <c r="H104" s="10"/>
      <c r="I104" s="10"/>
    </row>
    <row r="105" spans="4:9" x14ac:dyDescent="0.25">
      <c r="D105" s="10"/>
      <c r="E105" s="10"/>
      <c r="F105" s="10"/>
      <c r="G105" s="10"/>
      <c r="H105" s="10"/>
      <c r="I105" s="10"/>
    </row>
    <row r="106" spans="4:9" x14ac:dyDescent="0.25">
      <c r="D106" s="10"/>
      <c r="E106" s="10"/>
      <c r="F106" s="10"/>
      <c r="G106" s="10"/>
      <c r="H106" s="10"/>
      <c r="I106" s="10"/>
    </row>
    <row r="107" spans="4:9" x14ac:dyDescent="0.25">
      <c r="D107" s="10"/>
      <c r="E107" s="10"/>
      <c r="F107" s="10"/>
      <c r="G107" s="10"/>
      <c r="H107" s="10"/>
      <c r="I107" s="10"/>
    </row>
    <row r="108" spans="4:9" x14ac:dyDescent="0.25">
      <c r="D108" s="10"/>
      <c r="E108" s="10"/>
      <c r="F108" s="10"/>
      <c r="G108" s="10"/>
      <c r="H108" s="10"/>
      <c r="I108" s="10"/>
    </row>
    <row r="109" spans="4:9" x14ac:dyDescent="0.25">
      <c r="D109" s="10"/>
      <c r="E109" s="10"/>
      <c r="F109" s="10"/>
      <c r="G109" s="10"/>
      <c r="H109" s="10"/>
      <c r="I109" s="10"/>
    </row>
    <row r="110" spans="4:9" x14ac:dyDescent="0.25">
      <c r="D110" s="10"/>
      <c r="E110" s="10"/>
      <c r="F110" s="10"/>
      <c r="G110" s="10"/>
      <c r="H110" s="10"/>
      <c r="I110" s="10"/>
    </row>
    <row r="111" spans="4:9" x14ac:dyDescent="0.25">
      <c r="D111" s="10"/>
      <c r="E111" s="10"/>
      <c r="F111" s="10"/>
      <c r="G111" s="10"/>
      <c r="H111" s="10"/>
      <c r="I111" s="10"/>
    </row>
    <row r="112" spans="4:9" x14ac:dyDescent="0.25">
      <c r="D112" s="10"/>
      <c r="E112" s="10"/>
      <c r="F112" s="10"/>
      <c r="G112" s="10"/>
      <c r="H112" s="10"/>
      <c r="I112" s="10"/>
    </row>
    <row r="113" spans="4:9" x14ac:dyDescent="0.25">
      <c r="D113" s="10"/>
      <c r="E113" s="10"/>
      <c r="F113" s="10"/>
      <c r="G113" s="10"/>
      <c r="H113" s="10"/>
      <c r="I113" s="10"/>
    </row>
    <row r="114" spans="4:9" x14ac:dyDescent="0.25">
      <c r="D114" s="10"/>
      <c r="E114" s="10"/>
      <c r="F114" s="10"/>
      <c r="G114" s="10"/>
      <c r="H114" s="10"/>
      <c r="I114" s="10"/>
    </row>
    <row r="115" spans="4:9" x14ac:dyDescent="0.25">
      <c r="D115" s="10"/>
      <c r="E115" s="10"/>
      <c r="F115" s="10"/>
      <c r="G115" s="10"/>
      <c r="H115" s="10"/>
      <c r="I115" s="10"/>
    </row>
    <row r="116" spans="4:9" x14ac:dyDescent="0.25">
      <c r="D116" s="10"/>
      <c r="E116" s="10"/>
      <c r="F116" s="10"/>
      <c r="G116" s="10"/>
      <c r="H116" s="10"/>
      <c r="I116" s="10"/>
    </row>
    <row r="117" spans="4:9" x14ac:dyDescent="0.25">
      <c r="D117" s="10"/>
      <c r="E117" s="10"/>
      <c r="F117" s="10"/>
      <c r="G117" s="10"/>
      <c r="H117" s="10"/>
      <c r="I117" s="10"/>
    </row>
    <row r="118" spans="4:9" x14ac:dyDescent="0.25">
      <c r="D118" s="10"/>
      <c r="E118" s="10"/>
      <c r="F118" s="10"/>
      <c r="G118" s="10"/>
      <c r="H118" s="10"/>
      <c r="I118" s="10"/>
    </row>
    <row r="119" spans="4:9" x14ac:dyDescent="0.25">
      <c r="D119" s="10"/>
      <c r="E119" s="10"/>
      <c r="F119" s="10"/>
      <c r="G119" s="10"/>
      <c r="H119" s="10"/>
      <c r="I119" s="10"/>
    </row>
    <row r="120" spans="4:9" x14ac:dyDescent="0.25">
      <c r="D120" s="10"/>
      <c r="E120" s="10"/>
      <c r="F120" s="10"/>
      <c r="G120" s="10"/>
      <c r="H120" s="10"/>
      <c r="I120" s="10"/>
    </row>
    <row r="121" spans="4:9" x14ac:dyDescent="0.25">
      <c r="D121" s="10"/>
      <c r="E121" s="10"/>
      <c r="F121" s="10"/>
      <c r="G121" s="10"/>
      <c r="H121" s="10"/>
      <c r="I121" s="10"/>
    </row>
    <row r="122" spans="4:9" x14ac:dyDescent="0.25">
      <c r="D122" s="10"/>
      <c r="E122" s="10"/>
      <c r="F122" s="10"/>
      <c r="G122" s="10"/>
      <c r="H122" s="10"/>
      <c r="I122" s="10"/>
    </row>
    <row r="123" spans="4:9" x14ac:dyDescent="0.25">
      <c r="D123" s="10"/>
      <c r="E123" s="10"/>
      <c r="F123" s="10"/>
      <c r="G123" s="10"/>
      <c r="H123" s="10"/>
      <c r="I123" s="10"/>
    </row>
    <row r="124" spans="4:9" x14ac:dyDescent="0.25">
      <c r="D124" s="10"/>
      <c r="E124" s="10"/>
      <c r="F124" s="10"/>
      <c r="G124" s="10"/>
      <c r="H124" s="10"/>
      <c r="I124" s="10"/>
    </row>
    <row r="125" spans="4:9" x14ac:dyDescent="0.25">
      <c r="D125" s="10"/>
      <c r="E125" s="10"/>
      <c r="F125" s="10"/>
      <c r="G125" s="10"/>
      <c r="H125" s="10"/>
      <c r="I125" s="10"/>
    </row>
    <row r="126" spans="4:9" x14ac:dyDescent="0.25">
      <c r="D126" s="10"/>
      <c r="E126" s="10"/>
      <c r="F126" s="10"/>
      <c r="G126" s="10"/>
      <c r="H126" s="10"/>
      <c r="I126" s="10"/>
    </row>
    <row r="127" spans="4:9" x14ac:dyDescent="0.25">
      <c r="D127" s="10"/>
      <c r="E127" s="10"/>
      <c r="F127" s="10"/>
      <c r="G127" s="10"/>
      <c r="H127" s="10"/>
      <c r="I127" s="10"/>
    </row>
    <row r="128" spans="4:9" x14ac:dyDescent="0.25">
      <c r="D128" s="10"/>
      <c r="E128" s="10"/>
      <c r="F128" s="10"/>
      <c r="G128" s="10"/>
      <c r="H128" s="10"/>
      <c r="I128" s="10"/>
    </row>
    <row r="129" spans="4:9" x14ac:dyDescent="0.25">
      <c r="D129" s="10"/>
      <c r="E129" s="10"/>
      <c r="F129" s="10"/>
      <c r="G129" s="10"/>
      <c r="H129" s="10"/>
      <c r="I129" s="10"/>
    </row>
    <row r="130" spans="4:9" x14ac:dyDescent="0.25">
      <c r="D130" s="10"/>
      <c r="E130" s="10"/>
      <c r="F130" s="10"/>
      <c r="G130" s="10"/>
      <c r="H130" s="10"/>
      <c r="I130" s="10"/>
    </row>
    <row r="131" spans="4:9" x14ac:dyDescent="0.25">
      <c r="D131" s="10"/>
      <c r="E131" s="10"/>
      <c r="F131" s="10"/>
      <c r="G131" s="10"/>
      <c r="H131" s="10"/>
      <c r="I131" s="10"/>
    </row>
    <row r="132" spans="4:9" x14ac:dyDescent="0.25">
      <c r="D132" s="10"/>
      <c r="E132" s="10"/>
      <c r="F132" s="10"/>
      <c r="G132" s="10"/>
      <c r="H132" s="10"/>
      <c r="I132" s="10"/>
    </row>
    <row r="133" spans="4:9" x14ac:dyDescent="0.25">
      <c r="D133" s="10"/>
      <c r="E133" s="10"/>
      <c r="F133" s="10"/>
      <c r="G133" s="10"/>
      <c r="H133" s="10"/>
      <c r="I133" s="10"/>
    </row>
    <row r="134" spans="4:9" x14ac:dyDescent="0.25">
      <c r="D134" s="10"/>
      <c r="E134" s="10"/>
      <c r="F134" s="10"/>
      <c r="G134" s="10"/>
      <c r="H134" s="10"/>
      <c r="I134" s="10"/>
    </row>
    <row r="135" spans="4:9" x14ac:dyDescent="0.25">
      <c r="D135" s="10"/>
      <c r="E135" s="10"/>
      <c r="F135" s="10"/>
      <c r="G135" s="10"/>
      <c r="H135" s="10"/>
      <c r="I135" s="10"/>
    </row>
    <row r="136" spans="4:9" x14ac:dyDescent="0.25">
      <c r="D136" s="10"/>
      <c r="E136" s="10"/>
      <c r="F136" s="10"/>
      <c r="G136" s="10"/>
      <c r="H136" s="10"/>
      <c r="I136" s="10"/>
    </row>
    <row r="137" spans="4:9" x14ac:dyDescent="0.25">
      <c r="D137" s="10"/>
      <c r="E137" s="10"/>
      <c r="F137" s="10"/>
      <c r="G137" s="10"/>
      <c r="H137" s="10"/>
      <c r="I137" s="10"/>
    </row>
    <row r="138" spans="4:9" x14ac:dyDescent="0.25">
      <c r="D138" s="10"/>
      <c r="E138" s="10"/>
      <c r="F138" s="10"/>
      <c r="G138" s="10"/>
      <c r="H138" s="10"/>
      <c r="I138" s="10"/>
    </row>
    <row r="139" spans="4:9" x14ac:dyDescent="0.25">
      <c r="D139" s="10"/>
      <c r="E139" s="10"/>
      <c r="F139" s="10"/>
      <c r="G139" s="10"/>
      <c r="H139" s="10"/>
      <c r="I139" s="10"/>
    </row>
    <row r="140" spans="4:9" x14ac:dyDescent="0.25">
      <c r="D140" s="10"/>
      <c r="E140" s="10"/>
      <c r="F140" s="10"/>
      <c r="G140" s="10"/>
      <c r="H140" s="10"/>
      <c r="I140" s="10"/>
    </row>
    <row r="141" spans="4:9" x14ac:dyDescent="0.25">
      <c r="D141" s="10"/>
      <c r="E141" s="10"/>
      <c r="F141" s="10"/>
      <c r="G141" s="10"/>
      <c r="H141" s="10"/>
      <c r="I141" s="10"/>
    </row>
    <row r="142" spans="4:9" x14ac:dyDescent="0.25">
      <c r="D142" s="10"/>
      <c r="E142" s="10"/>
      <c r="F142" s="10"/>
      <c r="G142" s="10"/>
      <c r="H142" s="10"/>
      <c r="I142" s="10"/>
    </row>
    <row r="143" spans="4:9" x14ac:dyDescent="0.25">
      <c r="D143" s="10"/>
      <c r="E143" s="10"/>
      <c r="F143" s="10"/>
      <c r="G143" s="10"/>
      <c r="H143" s="10"/>
      <c r="I143" s="10"/>
    </row>
    <row r="144" spans="4:9" x14ac:dyDescent="0.25">
      <c r="D144" s="10"/>
      <c r="E144" s="10"/>
      <c r="F144" s="10"/>
      <c r="G144" s="10"/>
      <c r="H144" s="10"/>
      <c r="I144" s="10"/>
    </row>
    <row r="145" spans="4:9" x14ac:dyDescent="0.25">
      <c r="D145" s="10"/>
      <c r="E145" s="10"/>
      <c r="F145" s="10"/>
      <c r="G145" s="10"/>
      <c r="H145" s="10"/>
      <c r="I145" s="10"/>
    </row>
    <row r="146" spans="4:9" x14ac:dyDescent="0.25">
      <c r="D146" s="10"/>
      <c r="E146" s="10"/>
      <c r="F146" s="10"/>
      <c r="G146" s="10"/>
      <c r="H146" s="10"/>
      <c r="I146" s="10"/>
    </row>
    <row r="147" spans="4:9" x14ac:dyDescent="0.25">
      <c r="D147" s="10"/>
      <c r="E147" s="10"/>
      <c r="F147" s="10"/>
      <c r="G147" s="10"/>
      <c r="H147" s="10"/>
      <c r="I147" s="10"/>
    </row>
    <row r="148" spans="4:9" x14ac:dyDescent="0.25">
      <c r="D148" s="10"/>
      <c r="E148" s="10"/>
      <c r="F148" s="10"/>
      <c r="G148" s="10"/>
      <c r="H148" s="10"/>
      <c r="I148" s="10"/>
    </row>
    <row r="149" spans="4:9" x14ac:dyDescent="0.25">
      <c r="D149" s="10"/>
      <c r="E149" s="10"/>
      <c r="F149" s="10"/>
      <c r="G149" s="10"/>
      <c r="H149" s="10"/>
      <c r="I149" s="10"/>
    </row>
    <row r="150" spans="4:9" x14ac:dyDescent="0.25">
      <c r="D150" s="10"/>
      <c r="E150" s="10"/>
      <c r="F150" s="10"/>
      <c r="G150" s="10"/>
      <c r="H150" s="10"/>
      <c r="I150" s="10"/>
    </row>
    <row r="151" spans="4:9" x14ac:dyDescent="0.25">
      <c r="D151" s="10"/>
      <c r="E151" s="10"/>
      <c r="F151" s="10"/>
      <c r="G151" s="10"/>
      <c r="H151" s="10"/>
      <c r="I151" s="10"/>
    </row>
    <row r="152" spans="4:9" x14ac:dyDescent="0.25">
      <c r="D152" s="10"/>
      <c r="E152" s="10"/>
      <c r="F152" s="10"/>
      <c r="G152" s="10"/>
      <c r="H152" s="10"/>
      <c r="I152" s="10"/>
    </row>
    <row r="153" spans="4:9" x14ac:dyDescent="0.25">
      <c r="D153" s="10"/>
      <c r="E153" s="10"/>
      <c r="F153" s="10"/>
      <c r="G153" s="10"/>
      <c r="H153" s="10"/>
      <c r="I153" s="10"/>
    </row>
    <row r="154" spans="4:9" x14ac:dyDescent="0.25">
      <c r="D154" s="10"/>
      <c r="E154" s="10"/>
      <c r="F154" s="10"/>
      <c r="G154" s="10"/>
      <c r="H154" s="10"/>
      <c r="I154" s="10"/>
    </row>
    <row r="155" spans="4:9" x14ac:dyDescent="0.25">
      <c r="D155" s="10"/>
      <c r="E155" s="10"/>
      <c r="F155" s="10"/>
      <c r="G155" s="10"/>
      <c r="H155" s="10"/>
      <c r="I155" s="10"/>
    </row>
    <row r="156" spans="4:9" x14ac:dyDescent="0.25">
      <c r="D156" s="10"/>
      <c r="E156" s="10"/>
      <c r="F156" s="10"/>
      <c r="G156" s="10"/>
      <c r="H156" s="10"/>
      <c r="I156" s="10"/>
    </row>
    <row r="157" spans="4:9" x14ac:dyDescent="0.25">
      <c r="D157" s="10"/>
      <c r="E157" s="10"/>
      <c r="F157" s="10"/>
      <c r="G157" s="10"/>
      <c r="H157" s="10"/>
      <c r="I157" s="10"/>
    </row>
    <row r="158" spans="4:9" x14ac:dyDescent="0.25">
      <c r="D158" s="10"/>
      <c r="E158" s="10"/>
      <c r="F158" s="10"/>
      <c r="G158" s="10"/>
      <c r="H158" s="10"/>
      <c r="I158" s="10"/>
    </row>
    <row r="159" spans="4:9" x14ac:dyDescent="0.25">
      <c r="D159" s="10"/>
      <c r="E159" s="10"/>
      <c r="F159" s="10"/>
      <c r="G159" s="10"/>
      <c r="H159" s="10"/>
      <c r="I159" s="10"/>
    </row>
    <row r="160" spans="4:9" x14ac:dyDescent="0.25">
      <c r="D160" s="10"/>
      <c r="E160" s="10"/>
      <c r="F160" s="10"/>
      <c r="G160" s="10"/>
      <c r="H160" s="10"/>
      <c r="I160" s="10"/>
    </row>
    <row r="161" spans="4:9" x14ac:dyDescent="0.25">
      <c r="D161" s="10"/>
      <c r="E161" s="10"/>
      <c r="F161" s="10"/>
      <c r="G161" s="10"/>
      <c r="H161" s="10"/>
      <c r="I161" s="10"/>
    </row>
    <row r="162" spans="4:9" x14ac:dyDescent="0.25">
      <c r="D162" s="10"/>
      <c r="E162" s="10"/>
      <c r="F162" s="10"/>
      <c r="G162" s="10"/>
      <c r="H162" s="10"/>
      <c r="I162" s="10"/>
    </row>
    <row r="163" spans="4:9" x14ac:dyDescent="0.25">
      <c r="D163" s="10"/>
      <c r="E163" s="10"/>
      <c r="F163" s="10"/>
      <c r="G163" s="10"/>
      <c r="H163" s="10"/>
      <c r="I163" s="10"/>
    </row>
    <row r="164" spans="4:9" x14ac:dyDescent="0.25">
      <c r="D164" s="10"/>
      <c r="E164" s="10"/>
      <c r="F164" s="10"/>
      <c r="G164" s="10"/>
      <c r="H164" s="10"/>
      <c r="I164" s="10"/>
    </row>
    <row r="165" spans="4:9" x14ac:dyDescent="0.25">
      <c r="D165" s="10"/>
      <c r="E165" s="10"/>
      <c r="F165" s="10"/>
      <c r="G165" s="10"/>
      <c r="H165" s="10"/>
      <c r="I165" s="10"/>
    </row>
    <row r="166" spans="4:9" x14ac:dyDescent="0.25">
      <c r="D166" s="10"/>
      <c r="E166" s="10"/>
      <c r="F166" s="10"/>
      <c r="G166" s="10"/>
      <c r="H166" s="10"/>
      <c r="I166" s="10"/>
    </row>
    <row r="167" spans="4:9" x14ac:dyDescent="0.25">
      <c r="D167" s="10"/>
      <c r="E167" s="10"/>
      <c r="F167" s="10"/>
      <c r="G167" s="10"/>
      <c r="H167" s="10"/>
      <c r="I167" s="10"/>
    </row>
    <row r="168" spans="4:9" x14ac:dyDescent="0.25">
      <c r="D168" s="10"/>
      <c r="E168" s="10"/>
      <c r="F168" s="10"/>
      <c r="G168" s="10"/>
      <c r="H168" s="10"/>
      <c r="I168" s="10"/>
    </row>
    <row r="169" spans="4:9" x14ac:dyDescent="0.25">
      <c r="D169" s="10"/>
      <c r="E169" s="10"/>
      <c r="F169" s="10"/>
      <c r="G169" s="10"/>
      <c r="H169" s="10"/>
      <c r="I169" s="10"/>
    </row>
    <row r="170" spans="4:9" x14ac:dyDescent="0.25">
      <c r="D170" s="10"/>
      <c r="E170" s="10"/>
      <c r="F170" s="10"/>
      <c r="G170" s="10"/>
      <c r="H170" s="10"/>
      <c r="I170" s="10"/>
    </row>
    <row r="171" spans="4:9" x14ac:dyDescent="0.25">
      <c r="D171" s="10"/>
      <c r="E171" s="10"/>
      <c r="F171" s="10"/>
      <c r="G171" s="10"/>
      <c r="H171" s="10"/>
      <c r="I171" s="10"/>
    </row>
    <row r="172" spans="4:9" x14ac:dyDescent="0.25">
      <c r="D172" s="10"/>
      <c r="E172" s="10"/>
      <c r="F172" s="10"/>
      <c r="G172" s="10"/>
      <c r="H172" s="10"/>
      <c r="I172" s="10"/>
    </row>
    <row r="173" spans="4:9" x14ac:dyDescent="0.25">
      <c r="D173" s="10"/>
      <c r="E173" s="10"/>
      <c r="F173" s="10"/>
      <c r="G173" s="10"/>
      <c r="H173" s="10"/>
      <c r="I173" s="10"/>
    </row>
    <row r="174" spans="4:9" x14ac:dyDescent="0.25">
      <c r="D174" s="10"/>
      <c r="E174" s="10"/>
      <c r="F174" s="10"/>
      <c r="G174" s="10"/>
      <c r="H174" s="10"/>
      <c r="I174" s="10"/>
    </row>
    <row r="175" spans="4:9" x14ac:dyDescent="0.25">
      <c r="D175" s="10"/>
      <c r="E175" s="10"/>
      <c r="F175" s="10"/>
      <c r="G175" s="10"/>
      <c r="H175" s="10"/>
      <c r="I175" s="10"/>
    </row>
    <row r="176" spans="4:9" x14ac:dyDescent="0.25">
      <c r="D176" s="10"/>
      <c r="E176" s="10"/>
      <c r="F176" s="10"/>
      <c r="G176" s="10"/>
      <c r="H176" s="10"/>
      <c r="I176" s="10"/>
    </row>
    <row r="177" spans="4:9" x14ac:dyDescent="0.25">
      <c r="D177" s="10"/>
      <c r="E177" s="10"/>
      <c r="F177" s="10"/>
      <c r="G177" s="10"/>
      <c r="H177" s="10"/>
      <c r="I177" s="10"/>
    </row>
    <row r="178" spans="4:9" x14ac:dyDescent="0.25">
      <c r="D178" s="10"/>
      <c r="E178" s="10"/>
      <c r="F178" s="10"/>
      <c r="G178" s="10"/>
      <c r="H178" s="10"/>
      <c r="I178" s="10"/>
    </row>
    <row r="179" spans="4:9" x14ac:dyDescent="0.25">
      <c r="D179" s="10"/>
      <c r="E179" s="10"/>
      <c r="F179" s="10"/>
      <c r="G179" s="10"/>
      <c r="H179" s="10"/>
      <c r="I179" s="10"/>
    </row>
    <row r="180" spans="4:9" x14ac:dyDescent="0.25">
      <c r="D180" s="10"/>
      <c r="E180" s="10"/>
      <c r="F180" s="10"/>
      <c r="G180" s="10"/>
      <c r="H180" s="10"/>
      <c r="I180" s="10"/>
    </row>
    <row r="181" spans="4:9" x14ac:dyDescent="0.25">
      <c r="D181" s="10"/>
      <c r="E181" s="10"/>
      <c r="F181" s="10"/>
      <c r="G181" s="10"/>
      <c r="H181" s="10"/>
      <c r="I181" s="10"/>
    </row>
    <row r="182" spans="4:9" x14ac:dyDescent="0.25">
      <c r="D182" s="10"/>
      <c r="E182" s="10"/>
      <c r="F182" s="10"/>
      <c r="G182" s="10"/>
      <c r="H182" s="10"/>
      <c r="I182" s="10"/>
    </row>
    <row r="183" spans="4:9" x14ac:dyDescent="0.25">
      <c r="D183" s="10"/>
      <c r="E183" s="10"/>
      <c r="F183" s="10"/>
      <c r="G183" s="10"/>
      <c r="H183" s="10"/>
      <c r="I183" s="10"/>
    </row>
    <row r="184" spans="4:9" x14ac:dyDescent="0.25">
      <c r="D184" s="10"/>
      <c r="E184" s="10"/>
      <c r="F184" s="10"/>
      <c r="G184" s="10"/>
      <c r="H184" s="10"/>
      <c r="I184" s="10"/>
    </row>
    <row r="185" spans="4:9" x14ac:dyDescent="0.25">
      <c r="D185" s="10"/>
      <c r="E185" s="10"/>
      <c r="F185" s="10"/>
      <c r="G185" s="10"/>
      <c r="H185" s="10"/>
      <c r="I185" s="10"/>
    </row>
    <row r="186" spans="4:9" x14ac:dyDescent="0.25">
      <c r="D186" s="10"/>
      <c r="E186" s="10"/>
      <c r="F186" s="10"/>
      <c r="G186" s="10"/>
      <c r="H186" s="10"/>
      <c r="I186" s="10"/>
    </row>
    <row r="187" spans="4:9" x14ac:dyDescent="0.25">
      <c r="D187" s="10"/>
      <c r="E187" s="10"/>
      <c r="F187" s="10"/>
      <c r="G187" s="10"/>
      <c r="H187" s="10"/>
      <c r="I187" s="10"/>
    </row>
    <row r="188" spans="4:9" x14ac:dyDescent="0.25">
      <c r="D188" s="10"/>
      <c r="E188" s="10"/>
      <c r="F188" s="10"/>
      <c r="G188" s="10"/>
      <c r="H188" s="10"/>
      <c r="I188" s="10"/>
    </row>
    <row r="189" spans="4:9" x14ac:dyDescent="0.25">
      <c r="D189" s="10"/>
      <c r="E189" s="10"/>
      <c r="F189" s="10"/>
      <c r="G189" s="10"/>
      <c r="H189" s="10"/>
      <c r="I189" s="10"/>
    </row>
    <row r="190" spans="4:9" x14ac:dyDescent="0.25">
      <c r="D190" s="10"/>
      <c r="E190" s="10"/>
      <c r="F190" s="10"/>
      <c r="G190" s="10"/>
      <c r="H190" s="10"/>
      <c r="I190" s="10"/>
    </row>
    <row r="191" spans="4:9" x14ac:dyDescent="0.25">
      <c r="D191" s="10"/>
      <c r="E191" s="10"/>
      <c r="F191" s="10"/>
      <c r="G191" s="10"/>
      <c r="H191" s="10"/>
      <c r="I191" s="10"/>
    </row>
    <row r="192" spans="4:9" x14ac:dyDescent="0.25">
      <c r="D192" s="10"/>
      <c r="E192" s="10"/>
      <c r="F192" s="10"/>
      <c r="G192" s="10"/>
      <c r="H192" s="10"/>
      <c r="I192" s="10"/>
    </row>
    <row r="193" spans="4:9" x14ac:dyDescent="0.25">
      <c r="D193" s="10"/>
      <c r="E193" s="10"/>
      <c r="F193" s="10"/>
      <c r="G193" s="10"/>
      <c r="H193" s="10"/>
      <c r="I193" s="10"/>
    </row>
    <row r="194" spans="4:9" x14ac:dyDescent="0.25">
      <c r="D194" s="10"/>
      <c r="E194" s="10"/>
      <c r="F194" s="10"/>
      <c r="G194" s="10"/>
      <c r="H194" s="10"/>
      <c r="I194" s="10"/>
    </row>
    <row r="195" spans="4:9" x14ac:dyDescent="0.25">
      <c r="D195" s="10"/>
      <c r="E195" s="10"/>
      <c r="F195" s="10"/>
      <c r="G195" s="10"/>
      <c r="H195" s="10"/>
      <c r="I195" s="10"/>
    </row>
    <row r="196" spans="4:9" x14ac:dyDescent="0.25">
      <c r="D196" s="10"/>
      <c r="E196" s="10"/>
      <c r="F196" s="10"/>
      <c r="G196" s="10"/>
      <c r="H196" s="10"/>
      <c r="I196" s="10"/>
    </row>
    <row r="197" spans="4:9" x14ac:dyDescent="0.25">
      <c r="D197" s="10"/>
      <c r="E197" s="10"/>
      <c r="F197" s="10"/>
      <c r="G197" s="10"/>
      <c r="H197" s="10"/>
      <c r="I197" s="10"/>
    </row>
    <row r="198" spans="4:9" x14ac:dyDescent="0.25">
      <c r="D198" s="10"/>
      <c r="E198" s="10"/>
      <c r="F198" s="10"/>
      <c r="G198" s="10"/>
      <c r="H198" s="10"/>
      <c r="I198" s="10"/>
    </row>
    <row r="199" spans="4:9" x14ac:dyDescent="0.25">
      <c r="D199" s="10"/>
      <c r="E199" s="10"/>
      <c r="F199" s="10"/>
      <c r="G199" s="10"/>
      <c r="H199" s="10"/>
      <c r="I199" s="10"/>
    </row>
    <row r="200" spans="4:9" x14ac:dyDescent="0.25">
      <c r="D200" s="10"/>
      <c r="E200" s="10"/>
      <c r="F200" s="10"/>
      <c r="G200" s="10"/>
      <c r="H200" s="10"/>
      <c r="I200" s="10"/>
    </row>
    <row r="201" spans="4:9" x14ac:dyDescent="0.25">
      <c r="D201" s="10"/>
      <c r="E201" s="10"/>
      <c r="F201" s="10"/>
      <c r="G201" s="10"/>
      <c r="H201" s="10"/>
      <c r="I201" s="10"/>
    </row>
    <row r="202" spans="4:9" x14ac:dyDescent="0.25">
      <c r="D202" s="10"/>
      <c r="E202" s="10"/>
      <c r="F202" s="10"/>
      <c r="G202" s="10"/>
      <c r="H202" s="10"/>
      <c r="I202" s="10"/>
    </row>
    <row r="203" spans="4:9" x14ac:dyDescent="0.25">
      <c r="D203" s="10"/>
      <c r="E203" s="10"/>
      <c r="F203" s="10"/>
      <c r="G203" s="10"/>
      <c r="H203" s="10"/>
      <c r="I203" s="10"/>
    </row>
    <row r="204" spans="4:9" x14ac:dyDescent="0.25">
      <c r="D204" s="10"/>
      <c r="E204" s="10"/>
      <c r="F204" s="10"/>
      <c r="G204" s="10"/>
      <c r="H204" s="10"/>
      <c r="I204" s="10"/>
    </row>
    <row r="205" spans="4:9" x14ac:dyDescent="0.25">
      <c r="D205" s="10"/>
      <c r="E205" s="10"/>
      <c r="F205" s="10"/>
      <c r="G205" s="10"/>
      <c r="H205" s="10"/>
      <c r="I205" s="10"/>
    </row>
    <row r="206" spans="4:9" x14ac:dyDescent="0.25">
      <c r="D206" s="10"/>
      <c r="E206" s="10"/>
      <c r="F206" s="10"/>
      <c r="G206" s="10"/>
      <c r="H206" s="10"/>
      <c r="I206" s="10"/>
    </row>
    <row r="207" spans="4:9" x14ac:dyDescent="0.25">
      <c r="D207" s="10"/>
      <c r="E207" s="10"/>
      <c r="F207" s="10"/>
      <c r="G207" s="10"/>
      <c r="H207" s="10"/>
      <c r="I207" s="10"/>
    </row>
    <row r="208" spans="4:9" x14ac:dyDescent="0.25">
      <c r="D208" s="10"/>
      <c r="E208" s="10"/>
      <c r="F208" s="10"/>
      <c r="G208" s="10"/>
      <c r="H208" s="10"/>
      <c r="I208" s="10"/>
    </row>
    <row r="209" spans="4:9" x14ac:dyDescent="0.25">
      <c r="D209" s="10"/>
      <c r="E209" s="10"/>
      <c r="F209" s="10"/>
      <c r="G209" s="10"/>
      <c r="H209" s="10"/>
      <c r="I209" s="10"/>
    </row>
    <row r="210" spans="4:9" x14ac:dyDescent="0.25">
      <c r="D210" s="10"/>
      <c r="E210" s="10"/>
      <c r="F210" s="10"/>
      <c r="G210" s="10"/>
      <c r="H210" s="10"/>
      <c r="I210" s="10"/>
    </row>
    <row r="211" spans="4:9" x14ac:dyDescent="0.25">
      <c r="D211" s="10"/>
      <c r="E211" s="10"/>
      <c r="F211" s="10"/>
      <c r="G211" s="10"/>
      <c r="H211" s="10"/>
      <c r="I211" s="10"/>
    </row>
    <row r="212" spans="4:9" x14ac:dyDescent="0.25">
      <c r="D212" s="10"/>
      <c r="E212" s="10"/>
      <c r="F212" s="10"/>
      <c r="G212" s="10"/>
      <c r="H212" s="10"/>
      <c r="I212" s="10"/>
    </row>
    <row r="213" spans="4:9" x14ac:dyDescent="0.25">
      <c r="D213" s="10"/>
      <c r="E213" s="10"/>
      <c r="F213" s="10"/>
      <c r="G213" s="10"/>
      <c r="H213" s="10"/>
      <c r="I213" s="10"/>
    </row>
    <row r="214" spans="4:9" x14ac:dyDescent="0.25">
      <c r="D214" s="10"/>
      <c r="E214" s="10"/>
      <c r="F214" s="10"/>
      <c r="G214" s="10"/>
      <c r="H214" s="10"/>
      <c r="I214" s="10"/>
    </row>
    <row r="215" spans="4:9" x14ac:dyDescent="0.25">
      <c r="D215" s="10"/>
      <c r="E215" s="10"/>
      <c r="F215" s="10"/>
      <c r="G215" s="10"/>
      <c r="H215" s="10"/>
      <c r="I215" s="10"/>
    </row>
    <row r="216" spans="4:9" x14ac:dyDescent="0.25">
      <c r="D216" s="10"/>
      <c r="E216" s="10"/>
      <c r="F216" s="10"/>
      <c r="G216" s="10"/>
      <c r="H216" s="10"/>
      <c r="I216" s="10"/>
    </row>
    <row r="217" spans="4:9" x14ac:dyDescent="0.25">
      <c r="D217" s="10"/>
      <c r="E217" s="10"/>
      <c r="F217" s="10"/>
      <c r="G217" s="10"/>
      <c r="H217" s="10"/>
      <c r="I217" s="10"/>
    </row>
    <row r="218" spans="4:9" x14ac:dyDescent="0.25">
      <c r="D218" s="10"/>
      <c r="E218" s="10"/>
      <c r="F218" s="10"/>
      <c r="G218" s="10"/>
      <c r="H218" s="10"/>
      <c r="I218" s="10"/>
    </row>
    <row r="219" spans="4:9" x14ac:dyDescent="0.25">
      <c r="D219" s="10"/>
      <c r="E219" s="10"/>
      <c r="F219" s="10"/>
      <c r="G219" s="10"/>
      <c r="H219" s="10"/>
      <c r="I219" s="10"/>
    </row>
    <row r="220" spans="4:9" x14ac:dyDescent="0.25">
      <c r="D220" s="10"/>
      <c r="E220" s="10"/>
      <c r="F220" s="10"/>
      <c r="G220" s="10"/>
      <c r="H220" s="10"/>
      <c r="I220" s="10"/>
    </row>
    <row r="221" spans="4:9" x14ac:dyDescent="0.25">
      <c r="D221" s="10"/>
      <c r="E221" s="10"/>
      <c r="F221" s="10"/>
      <c r="G221" s="10"/>
      <c r="H221" s="10"/>
      <c r="I221" s="10"/>
    </row>
    <row r="222" spans="4:9" x14ac:dyDescent="0.25">
      <c r="D222" s="10"/>
      <c r="E222" s="10"/>
      <c r="F222" s="10"/>
      <c r="G222" s="10"/>
      <c r="H222" s="10"/>
      <c r="I222" s="10"/>
    </row>
    <row r="223" spans="4:9" x14ac:dyDescent="0.25">
      <c r="D223" s="10"/>
      <c r="E223" s="10"/>
      <c r="F223" s="10"/>
      <c r="G223" s="10"/>
      <c r="H223" s="10"/>
      <c r="I223" s="10"/>
    </row>
    <row r="224" spans="4:9" x14ac:dyDescent="0.25">
      <c r="D224" s="10"/>
      <c r="E224" s="10"/>
      <c r="F224" s="10"/>
      <c r="G224" s="10"/>
      <c r="H224" s="10"/>
      <c r="I224" s="10"/>
    </row>
    <row r="225" spans="4:9" x14ac:dyDescent="0.25">
      <c r="D225" s="10"/>
      <c r="E225" s="10"/>
      <c r="F225" s="10"/>
      <c r="G225" s="10"/>
      <c r="H225" s="10"/>
      <c r="I225" s="10"/>
    </row>
    <row r="226" spans="4:9" x14ac:dyDescent="0.25">
      <c r="D226" s="10"/>
      <c r="E226" s="10"/>
      <c r="F226" s="10"/>
      <c r="G226" s="10"/>
      <c r="H226" s="10"/>
      <c r="I226" s="10"/>
    </row>
    <row r="227" spans="4:9" x14ac:dyDescent="0.25">
      <c r="D227" s="10"/>
      <c r="E227" s="10"/>
      <c r="F227" s="10"/>
      <c r="G227" s="10"/>
      <c r="H227" s="10"/>
      <c r="I227" s="10"/>
    </row>
    <row r="228" spans="4:9" x14ac:dyDescent="0.25">
      <c r="D228" s="10"/>
      <c r="E228" s="10"/>
      <c r="F228" s="10"/>
      <c r="G228" s="10"/>
      <c r="H228" s="10"/>
      <c r="I228" s="10"/>
    </row>
    <row r="229" spans="4:9" x14ac:dyDescent="0.25">
      <c r="D229" s="10"/>
      <c r="E229" s="10"/>
      <c r="F229" s="10"/>
      <c r="G229" s="10"/>
      <c r="H229" s="10"/>
      <c r="I229" s="10"/>
    </row>
    <row r="230" spans="4:9" x14ac:dyDescent="0.25">
      <c r="D230" s="10"/>
      <c r="E230" s="10"/>
      <c r="F230" s="10"/>
      <c r="G230" s="10"/>
      <c r="H230" s="10"/>
      <c r="I230" s="10"/>
    </row>
    <row r="231" spans="4:9" x14ac:dyDescent="0.25">
      <c r="D231" s="10"/>
      <c r="E231" s="10"/>
      <c r="F231" s="10"/>
      <c r="G231" s="10"/>
      <c r="H231" s="10"/>
      <c r="I231" s="10"/>
    </row>
    <row r="232" spans="4:9" x14ac:dyDescent="0.25">
      <c r="D232" s="10"/>
      <c r="E232" s="10"/>
      <c r="F232" s="10"/>
      <c r="G232" s="10"/>
      <c r="H232" s="10"/>
      <c r="I232" s="10"/>
    </row>
    <row r="233" spans="4:9" x14ac:dyDescent="0.25">
      <c r="D233" s="10"/>
      <c r="E233" s="10"/>
      <c r="F233" s="10"/>
      <c r="G233" s="10"/>
      <c r="H233" s="10"/>
      <c r="I233" s="10"/>
    </row>
    <row r="234" spans="4:9" x14ac:dyDescent="0.25">
      <c r="D234" s="10"/>
      <c r="E234" s="10"/>
      <c r="F234" s="10"/>
      <c r="G234" s="10"/>
      <c r="H234" s="10"/>
      <c r="I234" s="10"/>
    </row>
    <row r="235" spans="4:9" x14ac:dyDescent="0.25">
      <c r="D235" s="10"/>
      <c r="E235" s="10"/>
      <c r="F235" s="10"/>
      <c r="G235" s="10"/>
      <c r="H235" s="10"/>
      <c r="I235" s="10"/>
    </row>
    <row r="236" spans="4:9" x14ac:dyDescent="0.25">
      <c r="D236" s="10"/>
      <c r="E236" s="10"/>
      <c r="F236" s="10"/>
      <c r="G236" s="10"/>
      <c r="H236" s="10"/>
      <c r="I236" s="10"/>
    </row>
    <row r="237" spans="4:9" x14ac:dyDescent="0.25">
      <c r="D237" s="10"/>
      <c r="E237" s="10"/>
      <c r="F237" s="10"/>
      <c r="G237" s="10"/>
      <c r="H237" s="10"/>
      <c r="I237" s="10"/>
    </row>
    <row r="238" spans="4:9" x14ac:dyDescent="0.25">
      <c r="D238" s="10"/>
      <c r="E238" s="10"/>
      <c r="F238" s="10"/>
      <c r="G238" s="10"/>
      <c r="H238" s="10"/>
      <c r="I238" s="10"/>
    </row>
    <row r="239" spans="4:9" x14ac:dyDescent="0.25">
      <c r="D239" s="10"/>
      <c r="E239" s="10"/>
      <c r="F239" s="10"/>
      <c r="G239" s="10"/>
      <c r="H239" s="10"/>
      <c r="I239" s="10"/>
    </row>
    <row r="240" spans="4:9" x14ac:dyDescent="0.25">
      <c r="D240" s="10"/>
      <c r="E240" s="10"/>
      <c r="F240" s="10"/>
      <c r="G240" s="10"/>
      <c r="H240" s="10"/>
      <c r="I240" s="10"/>
    </row>
    <row r="241" spans="4:9" x14ac:dyDescent="0.25">
      <c r="D241" s="10"/>
      <c r="E241" s="10"/>
      <c r="F241" s="10"/>
      <c r="G241" s="10"/>
      <c r="H241" s="10"/>
      <c r="I241" s="10"/>
    </row>
    <row r="242" spans="4:9" x14ac:dyDescent="0.25">
      <c r="D242" s="10"/>
      <c r="E242" s="10"/>
      <c r="F242" s="10"/>
      <c r="G242" s="10"/>
      <c r="H242" s="10"/>
      <c r="I242" s="10"/>
    </row>
    <row r="243" spans="4:9" x14ac:dyDescent="0.25">
      <c r="D243" s="10"/>
      <c r="E243" s="10"/>
      <c r="F243" s="10"/>
      <c r="G243" s="10"/>
      <c r="H243" s="10"/>
      <c r="I243" s="10"/>
    </row>
    <row r="244" spans="4:9" x14ac:dyDescent="0.25">
      <c r="D244" s="10"/>
      <c r="E244" s="10"/>
      <c r="F244" s="10"/>
      <c r="G244" s="10"/>
      <c r="H244" s="10"/>
      <c r="I244" s="10"/>
    </row>
    <row r="245" spans="4:9" x14ac:dyDescent="0.25">
      <c r="D245" s="10"/>
      <c r="E245" s="10"/>
      <c r="F245" s="10"/>
      <c r="G245" s="10"/>
      <c r="H245" s="10"/>
      <c r="I245" s="10"/>
    </row>
    <row r="246" spans="4:9" x14ac:dyDescent="0.25">
      <c r="D246" s="10"/>
      <c r="E246" s="10"/>
      <c r="F246" s="10"/>
      <c r="G246" s="10"/>
      <c r="H246" s="10"/>
      <c r="I246" s="10"/>
    </row>
    <row r="247" spans="4:9" x14ac:dyDescent="0.25">
      <c r="D247" s="10"/>
      <c r="E247" s="10"/>
      <c r="F247" s="10"/>
      <c r="G247" s="10"/>
      <c r="H247" s="10"/>
      <c r="I247" s="10"/>
    </row>
    <row r="248" spans="4:9" x14ac:dyDescent="0.25">
      <c r="D248" s="10"/>
      <c r="E248" s="10"/>
      <c r="F248" s="10"/>
      <c r="G248" s="10"/>
      <c r="H248" s="10"/>
      <c r="I248" s="10"/>
    </row>
    <row r="249" spans="4:9" x14ac:dyDescent="0.25">
      <c r="D249" s="10"/>
      <c r="E249" s="10"/>
      <c r="F249" s="10"/>
      <c r="G249" s="10"/>
      <c r="H249" s="10"/>
      <c r="I249" s="10"/>
    </row>
    <row r="250" spans="4:9" x14ac:dyDescent="0.25">
      <c r="D250" s="10"/>
      <c r="E250" s="10"/>
      <c r="F250" s="10"/>
      <c r="G250" s="10"/>
      <c r="H250" s="10"/>
      <c r="I250" s="10"/>
    </row>
    <row r="251" spans="4:9" x14ac:dyDescent="0.25">
      <c r="D251" s="10"/>
      <c r="E251" s="10"/>
      <c r="F251" s="10"/>
      <c r="G251" s="10"/>
      <c r="H251" s="10"/>
      <c r="I251" s="10"/>
    </row>
    <row r="252" spans="4:9" x14ac:dyDescent="0.25">
      <c r="D252" s="10"/>
      <c r="E252" s="10"/>
      <c r="F252" s="10"/>
      <c r="G252" s="10"/>
      <c r="H252" s="10"/>
      <c r="I252" s="10"/>
    </row>
    <row r="253" spans="4:9" x14ac:dyDescent="0.25">
      <c r="D253" s="10"/>
      <c r="E253" s="10"/>
      <c r="F253" s="10"/>
      <c r="G253" s="10"/>
      <c r="H253" s="10"/>
      <c r="I253" s="10"/>
    </row>
    <row r="254" spans="4:9" x14ac:dyDescent="0.25">
      <c r="D254" s="10"/>
      <c r="E254" s="10"/>
      <c r="F254" s="10"/>
      <c r="G254" s="10"/>
      <c r="H254" s="10"/>
      <c r="I254" s="10"/>
    </row>
    <row r="255" spans="4:9" x14ac:dyDescent="0.25">
      <c r="D255" s="10"/>
      <c r="E255" s="10"/>
      <c r="F255" s="10"/>
      <c r="G255" s="10"/>
      <c r="H255" s="10"/>
      <c r="I255" s="10"/>
    </row>
    <row r="256" spans="4:9" x14ac:dyDescent="0.25">
      <c r="D256" s="10"/>
      <c r="E256" s="10"/>
      <c r="F256" s="10"/>
      <c r="G256" s="10"/>
      <c r="H256" s="10"/>
      <c r="I256" s="10"/>
    </row>
    <row r="257" spans="4:9" x14ac:dyDescent="0.25">
      <c r="D257" s="10"/>
      <c r="E257" s="10"/>
      <c r="F257" s="10"/>
      <c r="G257" s="10"/>
      <c r="H257" s="10"/>
      <c r="I257" s="10"/>
    </row>
    <row r="258" spans="4:9" x14ac:dyDescent="0.25">
      <c r="D258" s="10"/>
      <c r="E258" s="10"/>
      <c r="F258" s="10"/>
      <c r="G258" s="10"/>
      <c r="H258" s="10"/>
      <c r="I258" s="10"/>
    </row>
    <row r="259" spans="4:9" x14ac:dyDescent="0.25">
      <c r="D259" s="10"/>
      <c r="E259" s="10"/>
      <c r="F259" s="10"/>
      <c r="G259" s="10"/>
      <c r="H259" s="10"/>
      <c r="I259" s="10"/>
    </row>
    <row r="260" spans="4:9" x14ac:dyDescent="0.25">
      <c r="D260" s="10"/>
      <c r="E260" s="10"/>
      <c r="F260" s="10"/>
      <c r="G260" s="10"/>
      <c r="H260" s="10"/>
      <c r="I260" s="10"/>
    </row>
    <row r="261" spans="4:9" x14ac:dyDescent="0.25">
      <c r="D261" s="10"/>
      <c r="E261" s="10"/>
      <c r="F261" s="10"/>
      <c r="G261" s="10"/>
      <c r="H261" s="10"/>
      <c r="I261" s="10"/>
    </row>
    <row r="262" spans="4:9" x14ac:dyDescent="0.25">
      <c r="D262" s="10"/>
      <c r="E262" s="10"/>
      <c r="F262" s="10"/>
      <c r="G262" s="10"/>
      <c r="H262" s="10"/>
      <c r="I262" s="10"/>
    </row>
    <row r="263" spans="4:9" x14ac:dyDescent="0.25">
      <c r="D263" s="10"/>
      <c r="E263" s="10"/>
      <c r="F263" s="10"/>
      <c r="G263" s="10"/>
      <c r="H263" s="10"/>
      <c r="I263" s="10"/>
    </row>
    <row r="264" spans="4:9" x14ac:dyDescent="0.25">
      <c r="D264" s="10"/>
      <c r="E264" s="10"/>
      <c r="F264" s="10"/>
      <c r="G264" s="10"/>
      <c r="H264" s="10"/>
      <c r="I264" s="10"/>
    </row>
    <row r="265" spans="4:9" x14ac:dyDescent="0.25">
      <c r="D265" s="10"/>
      <c r="E265" s="10"/>
      <c r="F265" s="10"/>
      <c r="G265" s="10"/>
      <c r="H265" s="10"/>
      <c r="I265" s="10"/>
    </row>
    <row r="266" spans="4:9" x14ac:dyDescent="0.25">
      <c r="D266" s="10"/>
      <c r="E266" s="10"/>
      <c r="F266" s="10"/>
      <c r="G266" s="10"/>
      <c r="H266" s="10"/>
      <c r="I266" s="10"/>
    </row>
    <row r="267" spans="4:9" x14ac:dyDescent="0.25">
      <c r="D267" s="10"/>
      <c r="E267" s="10"/>
      <c r="F267" s="10"/>
      <c r="G267" s="10"/>
      <c r="H267" s="10"/>
      <c r="I267" s="10"/>
    </row>
    <row r="268" spans="4:9" x14ac:dyDescent="0.25">
      <c r="D268" s="10"/>
      <c r="E268" s="10"/>
      <c r="F268" s="10"/>
      <c r="G268" s="10"/>
      <c r="H268" s="10"/>
      <c r="I268" s="10"/>
    </row>
    <row r="269" spans="4:9" x14ac:dyDescent="0.25">
      <c r="D269" s="10"/>
      <c r="E269" s="10"/>
      <c r="F269" s="10"/>
      <c r="G269" s="10"/>
      <c r="H269" s="10"/>
      <c r="I269" s="10"/>
    </row>
    <row r="270" spans="4:9" x14ac:dyDescent="0.25">
      <c r="D270" s="10"/>
      <c r="E270" s="10"/>
      <c r="F270" s="10"/>
      <c r="G270" s="10"/>
      <c r="H270" s="10"/>
      <c r="I270" s="10"/>
    </row>
    <row r="271" spans="4:9" x14ac:dyDescent="0.25">
      <c r="D271" s="10"/>
      <c r="E271" s="10"/>
      <c r="F271" s="10"/>
      <c r="G271" s="10"/>
      <c r="H271" s="10"/>
      <c r="I271" s="10"/>
    </row>
    <row r="272" spans="4:9" x14ac:dyDescent="0.25">
      <c r="D272" s="10"/>
      <c r="E272" s="10"/>
      <c r="F272" s="10"/>
      <c r="G272" s="10"/>
      <c r="H272" s="10"/>
      <c r="I272" s="10"/>
    </row>
    <row r="273" spans="4:9" x14ac:dyDescent="0.25">
      <c r="D273" s="10"/>
      <c r="E273" s="10"/>
      <c r="F273" s="10"/>
      <c r="G273" s="10"/>
      <c r="H273" s="10"/>
      <c r="I273" s="10"/>
    </row>
    <row r="274" spans="4:9" x14ac:dyDescent="0.25">
      <c r="D274" s="10"/>
      <c r="E274" s="10"/>
      <c r="F274" s="10"/>
      <c r="G274" s="10"/>
      <c r="H274" s="10"/>
      <c r="I274" s="10"/>
    </row>
    <row r="275" spans="4:9" x14ac:dyDescent="0.25">
      <c r="D275" s="10"/>
      <c r="E275" s="10"/>
      <c r="F275" s="10"/>
      <c r="G275" s="10"/>
      <c r="H275" s="10"/>
      <c r="I275" s="10"/>
    </row>
    <row r="276" spans="4:9" x14ac:dyDescent="0.25">
      <c r="D276" s="10"/>
      <c r="E276" s="10"/>
      <c r="F276" s="10"/>
      <c r="G276" s="10"/>
      <c r="H276" s="10"/>
      <c r="I276" s="10"/>
    </row>
    <row r="277" spans="4:9" x14ac:dyDescent="0.25">
      <c r="D277" s="10"/>
      <c r="E277" s="10"/>
      <c r="F277" s="10"/>
      <c r="G277" s="10"/>
      <c r="H277" s="10"/>
      <c r="I277" s="10"/>
    </row>
    <row r="278" spans="4:9" x14ac:dyDescent="0.25">
      <c r="D278" s="10"/>
      <c r="E278" s="10"/>
      <c r="F278" s="10"/>
      <c r="G278" s="10"/>
      <c r="H278" s="10"/>
      <c r="I278" s="10"/>
    </row>
    <row r="279" spans="4:9" x14ac:dyDescent="0.25">
      <c r="D279" s="10"/>
      <c r="E279" s="10"/>
      <c r="F279" s="10"/>
      <c r="G279" s="10"/>
      <c r="H279" s="10"/>
      <c r="I279" s="10"/>
    </row>
    <row r="280" spans="4:9" x14ac:dyDescent="0.25">
      <c r="D280" s="10"/>
      <c r="E280" s="10"/>
      <c r="F280" s="10"/>
      <c r="G280" s="10"/>
      <c r="H280" s="10"/>
      <c r="I280" s="10"/>
    </row>
    <row r="281" spans="4:9" x14ac:dyDescent="0.25">
      <c r="D281" s="10"/>
      <c r="E281" s="10"/>
      <c r="F281" s="10"/>
      <c r="G281" s="10"/>
      <c r="H281" s="10"/>
      <c r="I281" s="10"/>
    </row>
    <row r="282" spans="4:9" x14ac:dyDescent="0.25">
      <c r="D282" s="10"/>
      <c r="E282" s="10"/>
      <c r="F282" s="10"/>
      <c r="G282" s="10"/>
      <c r="H282" s="10"/>
      <c r="I282" s="10"/>
    </row>
    <row r="283" spans="4:9" x14ac:dyDescent="0.25">
      <c r="D283" s="10"/>
      <c r="E283" s="10"/>
      <c r="F283" s="10"/>
      <c r="G283" s="10"/>
      <c r="H283" s="10"/>
      <c r="I283" s="10"/>
    </row>
    <row r="284" spans="4:9" x14ac:dyDescent="0.25">
      <c r="D284" s="10"/>
      <c r="E284" s="10"/>
      <c r="F284" s="10"/>
      <c r="G284" s="10"/>
      <c r="H284" s="10"/>
      <c r="I284" s="10"/>
    </row>
    <row r="285" spans="4:9" x14ac:dyDescent="0.25">
      <c r="D285" s="10"/>
      <c r="E285" s="10"/>
      <c r="F285" s="10"/>
      <c r="G285" s="10"/>
      <c r="H285" s="10"/>
      <c r="I285" s="10"/>
    </row>
    <row r="286" spans="4:9" x14ac:dyDescent="0.25">
      <c r="D286" s="10"/>
      <c r="E286" s="10"/>
      <c r="F286" s="10"/>
      <c r="G286" s="10"/>
      <c r="H286" s="10"/>
      <c r="I286" s="10"/>
    </row>
    <row r="287" spans="4:9" x14ac:dyDescent="0.25">
      <c r="D287" s="10"/>
      <c r="E287" s="10"/>
      <c r="F287" s="10"/>
      <c r="G287" s="10"/>
      <c r="H287" s="10"/>
      <c r="I287" s="10"/>
    </row>
    <row r="288" spans="4:9" x14ac:dyDescent="0.25">
      <c r="D288" s="10"/>
      <c r="E288" s="10"/>
      <c r="F288" s="10"/>
      <c r="G288" s="10"/>
      <c r="H288" s="10"/>
      <c r="I288" s="10"/>
    </row>
    <row r="289" spans="4:9" x14ac:dyDescent="0.25">
      <c r="D289" s="10"/>
      <c r="E289" s="10"/>
      <c r="F289" s="10"/>
      <c r="G289" s="10"/>
      <c r="H289" s="10"/>
      <c r="I289" s="10"/>
    </row>
    <row r="290" spans="4:9" x14ac:dyDescent="0.25">
      <c r="D290" s="10"/>
      <c r="E290" s="10"/>
      <c r="F290" s="10"/>
      <c r="G290" s="10"/>
      <c r="H290" s="10"/>
      <c r="I290" s="10"/>
    </row>
    <row r="291" spans="4:9" x14ac:dyDescent="0.25">
      <c r="D291" s="10"/>
      <c r="E291" s="10"/>
      <c r="F291" s="10"/>
      <c r="G291" s="10"/>
      <c r="H291" s="10"/>
      <c r="I291" s="10"/>
    </row>
    <row r="292" spans="4:9" x14ac:dyDescent="0.25">
      <c r="D292" s="10"/>
      <c r="E292" s="10"/>
      <c r="F292" s="10"/>
      <c r="G292" s="10"/>
      <c r="H292" s="10"/>
      <c r="I292" s="10"/>
    </row>
    <row r="293" spans="4:9" x14ac:dyDescent="0.25">
      <c r="D293" s="10"/>
      <c r="E293" s="10"/>
      <c r="F293" s="10"/>
      <c r="G293" s="10"/>
      <c r="H293" s="10"/>
      <c r="I293" s="10"/>
    </row>
    <row r="294" spans="4:9" x14ac:dyDescent="0.25">
      <c r="D294" s="10"/>
      <c r="E294" s="10"/>
      <c r="F294" s="10"/>
      <c r="G294" s="10"/>
      <c r="H294" s="10"/>
      <c r="I294" s="10"/>
    </row>
    <row r="295" spans="4:9" x14ac:dyDescent="0.25">
      <c r="D295" s="10"/>
      <c r="E295" s="10"/>
      <c r="F295" s="10"/>
      <c r="G295" s="10"/>
      <c r="H295" s="10"/>
      <c r="I295" s="10"/>
    </row>
    <row r="296" spans="4:9" x14ac:dyDescent="0.25">
      <c r="D296" s="10"/>
      <c r="E296" s="10"/>
      <c r="F296" s="10"/>
      <c r="G296" s="10"/>
      <c r="H296" s="10"/>
      <c r="I296" s="10"/>
    </row>
    <row r="297" spans="4:9" x14ac:dyDescent="0.25">
      <c r="D297" s="10"/>
      <c r="E297" s="10"/>
      <c r="F297" s="10"/>
      <c r="G297" s="10"/>
      <c r="H297" s="10"/>
      <c r="I297" s="10"/>
    </row>
    <row r="298" spans="4:9" x14ac:dyDescent="0.25">
      <c r="D298" s="10"/>
      <c r="E298" s="10"/>
      <c r="F298" s="10"/>
      <c r="G298" s="10"/>
      <c r="H298" s="10"/>
      <c r="I298" s="10"/>
    </row>
    <row r="299" spans="4:9" x14ac:dyDescent="0.25">
      <c r="D299" s="10"/>
      <c r="E299" s="10"/>
      <c r="F299" s="10"/>
      <c r="G299" s="10"/>
      <c r="H299" s="10"/>
      <c r="I299" s="10"/>
    </row>
    <row r="300" spans="4:9" x14ac:dyDescent="0.25">
      <c r="D300" s="10"/>
      <c r="E300" s="10"/>
      <c r="F300" s="10"/>
      <c r="G300" s="10"/>
      <c r="H300" s="10"/>
      <c r="I300" s="10"/>
    </row>
    <row r="301" spans="4:9" x14ac:dyDescent="0.25">
      <c r="D301" s="10"/>
      <c r="E301" s="10"/>
      <c r="F301" s="10"/>
      <c r="G301" s="10"/>
      <c r="H301" s="10"/>
      <c r="I301" s="10"/>
    </row>
    <row r="302" spans="4:9" x14ac:dyDescent="0.25">
      <c r="D302" s="10"/>
      <c r="E302" s="10"/>
      <c r="F302" s="10"/>
      <c r="G302" s="10"/>
      <c r="H302" s="10"/>
      <c r="I302" s="10"/>
    </row>
    <row r="303" spans="4:9" x14ac:dyDescent="0.25">
      <c r="D303" s="10"/>
      <c r="E303" s="10"/>
      <c r="F303" s="10"/>
      <c r="G303" s="10"/>
      <c r="H303" s="10"/>
      <c r="I303" s="10"/>
    </row>
    <row r="304" spans="4:9" x14ac:dyDescent="0.25">
      <c r="D304" s="10"/>
      <c r="E304" s="10"/>
      <c r="F304" s="10"/>
      <c r="G304" s="10"/>
      <c r="H304" s="10"/>
      <c r="I304" s="10"/>
    </row>
    <row r="305" spans="4:9" x14ac:dyDescent="0.25">
      <c r="D305" s="10"/>
      <c r="E305" s="10"/>
      <c r="F305" s="10"/>
      <c r="G305" s="10"/>
      <c r="H305" s="10"/>
      <c r="I305" s="10"/>
    </row>
    <row r="306" spans="4:9" x14ac:dyDescent="0.25">
      <c r="D306" s="10"/>
      <c r="E306" s="10"/>
      <c r="F306" s="10"/>
      <c r="G306" s="10"/>
      <c r="H306" s="10"/>
      <c r="I306" s="10"/>
    </row>
    <row r="307" spans="4:9" x14ac:dyDescent="0.25">
      <c r="D307" s="10"/>
      <c r="E307" s="10"/>
      <c r="F307" s="10"/>
      <c r="G307" s="10"/>
      <c r="H307" s="10"/>
      <c r="I307" s="10"/>
    </row>
    <row r="308" spans="4:9" x14ac:dyDescent="0.25">
      <c r="D308" s="10"/>
      <c r="E308" s="10"/>
      <c r="F308" s="10"/>
      <c r="G308" s="10"/>
      <c r="H308" s="10"/>
      <c r="I308" s="10"/>
    </row>
    <row r="309" spans="4:9" x14ac:dyDescent="0.25">
      <c r="D309" s="10"/>
      <c r="E309" s="10"/>
      <c r="F309" s="10"/>
      <c r="G309" s="10"/>
      <c r="H309" s="10"/>
      <c r="I309" s="10"/>
    </row>
    <row r="310" spans="4:9" x14ac:dyDescent="0.25">
      <c r="D310" s="10"/>
      <c r="E310" s="10"/>
      <c r="F310" s="10"/>
      <c r="G310" s="10"/>
      <c r="H310" s="10"/>
      <c r="I310" s="10"/>
    </row>
    <row r="311" spans="4:9" x14ac:dyDescent="0.25">
      <c r="D311" s="10"/>
      <c r="E311" s="10"/>
      <c r="F311" s="10"/>
      <c r="G311" s="10"/>
      <c r="H311" s="10"/>
      <c r="I311" s="10"/>
    </row>
    <row r="312" spans="4:9" x14ac:dyDescent="0.25">
      <c r="D312" s="10"/>
      <c r="E312" s="10"/>
      <c r="F312" s="10"/>
      <c r="G312" s="10"/>
      <c r="H312" s="10"/>
      <c r="I312" s="10"/>
    </row>
    <row r="313" spans="4:9" x14ac:dyDescent="0.25">
      <c r="D313" s="10"/>
      <c r="E313" s="10"/>
      <c r="F313" s="10"/>
      <c r="G313" s="10"/>
      <c r="H313" s="10"/>
      <c r="I313" s="10"/>
    </row>
    <row r="314" spans="4:9" x14ac:dyDescent="0.25">
      <c r="D314" s="10"/>
      <c r="E314" s="10"/>
      <c r="F314" s="10"/>
      <c r="G314" s="10"/>
      <c r="H314" s="10"/>
      <c r="I314" s="10"/>
    </row>
    <row r="315" spans="4:9" x14ac:dyDescent="0.25">
      <c r="D315" s="10"/>
      <c r="E315" s="10"/>
      <c r="F315" s="10"/>
      <c r="G315" s="10"/>
      <c r="H315" s="10"/>
      <c r="I315" s="10"/>
    </row>
    <row r="316" spans="4:9" x14ac:dyDescent="0.25">
      <c r="D316" s="10"/>
      <c r="E316" s="10"/>
      <c r="F316" s="10"/>
      <c r="G316" s="10"/>
      <c r="H316" s="10"/>
      <c r="I316" s="10"/>
    </row>
    <row r="317" spans="4:9" x14ac:dyDescent="0.25">
      <c r="D317" s="10"/>
      <c r="E317" s="10"/>
      <c r="F317" s="10"/>
      <c r="G317" s="10"/>
      <c r="H317" s="10"/>
      <c r="I317" s="10"/>
    </row>
    <row r="318" spans="4:9" x14ac:dyDescent="0.25">
      <c r="D318" s="10"/>
      <c r="E318" s="10"/>
      <c r="F318" s="10"/>
      <c r="G318" s="10"/>
      <c r="H318" s="10"/>
      <c r="I318" s="10"/>
    </row>
    <row r="319" spans="4:9" x14ac:dyDescent="0.25">
      <c r="D319" s="10"/>
      <c r="E319" s="10"/>
      <c r="F319" s="10"/>
      <c r="G319" s="10"/>
      <c r="H319" s="10"/>
      <c r="I319" s="10"/>
    </row>
    <row r="320" spans="4:9" x14ac:dyDescent="0.25">
      <c r="D320" s="10"/>
      <c r="E320" s="10"/>
      <c r="F320" s="10"/>
      <c r="G320" s="10"/>
      <c r="H320" s="10"/>
      <c r="I320" s="10"/>
    </row>
    <row r="321" spans="4:9" x14ac:dyDescent="0.25">
      <c r="D321" s="10"/>
      <c r="E321" s="10"/>
      <c r="F321" s="10"/>
      <c r="G321" s="10"/>
      <c r="H321" s="10"/>
      <c r="I321" s="10"/>
    </row>
    <row r="322" spans="4:9" x14ac:dyDescent="0.25">
      <c r="D322" s="10"/>
      <c r="E322" s="10"/>
      <c r="F322" s="10"/>
      <c r="G322" s="10"/>
      <c r="H322" s="10"/>
      <c r="I322" s="10"/>
    </row>
    <row r="323" spans="4:9" x14ac:dyDescent="0.25">
      <c r="D323" s="10"/>
      <c r="E323" s="10"/>
      <c r="F323" s="10"/>
      <c r="G323" s="10"/>
      <c r="H323" s="10"/>
      <c r="I323" s="10"/>
    </row>
    <row r="324" spans="4:9" x14ac:dyDescent="0.25">
      <c r="D324" s="10"/>
      <c r="E324" s="10"/>
      <c r="F324" s="10"/>
      <c r="G324" s="10"/>
      <c r="H324" s="10"/>
      <c r="I324" s="10"/>
    </row>
    <row r="325" spans="4:9" x14ac:dyDescent="0.25">
      <c r="D325" s="10"/>
      <c r="E325" s="10"/>
      <c r="F325" s="10"/>
      <c r="G325" s="10"/>
      <c r="H325" s="10"/>
      <c r="I325" s="10"/>
    </row>
    <row r="326" spans="4:9" x14ac:dyDescent="0.25">
      <c r="D326" s="10"/>
      <c r="E326" s="10"/>
      <c r="F326" s="10"/>
      <c r="G326" s="10"/>
      <c r="H326" s="10"/>
      <c r="I326" s="10"/>
    </row>
    <row r="327" spans="4:9" x14ac:dyDescent="0.25">
      <c r="D327" s="10"/>
      <c r="E327" s="10"/>
      <c r="F327" s="10"/>
      <c r="G327" s="10"/>
      <c r="H327" s="10"/>
      <c r="I327" s="10"/>
    </row>
    <row r="328" spans="4:9" x14ac:dyDescent="0.25">
      <c r="D328" s="10"/>
      <c r="E328" s="10"/>
      <c r="F328" s="10"/>
      <c r="G328" s="10"/>
      <c r="H328" s="10"/>
      <c r="I328" s="10"/>
    </row>
    <row r="329" spans="4:9" x14ac:dyDescent="0.25">
      <c r="D329" s="10"/>
      <c r="E329" s="10"/>
      <c r="F329" s="10"/>
      <c r="G329" s="10"/>
      <c r="H329" s="10"/>
      <c r="I329" s="10"/>
    </row>
    <row r="330" spans="4:9" x14ac:dyDescent="0.25">
      <c r="D330" s="10"/>
      <c r="E330" s="10"/>
      <c r="F330" s="10"/>
      <c r="G330" s="10"/>
      <c r="H330" s="10"/>
      <c r="I330" s="10"/>
    </row>
    <row r="331" spans="4:9" x14ac:dyDescent="0.25">
      <c r="D331" s="10"/>
      <c r="E331" s="10"/>
      <c r="F331" s="10"/>
      <c r="G331" s="10"/>
      <c r="H331" s="10"/>
      <c r="I331" s="10"/>
    </row>
    <row r="332" spans="4:9" x14ac:dyDescent="0.25">
      <c r="D332" s="10"/>
      <c r="E332" s="10"/>
      <c r="F332" s="10"/>
      <c r="G332" s="10"/>
      <c r="H332" s="10"/>
      <c r="I332" s="10"/>
    </row>
    <row r="333" spans="4:9" x14ac:dyDescent="0.25">
      <c r="D333" s="10"/>
      <c r="E333" s="10"/>
      <c r="F333" s="10"/>
      <c r="G333" s="10"/>
      <c r="H333" s="10"/>
      <c r="I333" s="10"/>
    </row>
    <row r="334" spans="4:9" x14ac:dyDescent="0.25">
      <c r="D334" s="10"/>
      <c r="E334" s="10"/>
      <c r="F334" s="10"/>
      <c r="G334" s="10"/>
      <c r="H334" s="10"/>
      <c r="I334" s="10"/>
    </row>
    <row r="335" spans="4:9" x14ac:dyDescent="0.25">
      <c r="D335" s="10"/>
      <c r="E335" s="10"/>
      <c r="F335" s="10"/>
      <c r="G335" s="10"/>
      <c r="H335" s="10"/>
      <c r="I335" s="10"/>
    </row>
    <row r="336" spans="4:9" x14ac:dyDescent="0.25">
      <c r="D336" s="10"/>
      <c r="E336" s="10"/>
      <c r="F336" s="10"/>
      <c r="G336" s="10"/>
      <c r="H336" s="10"/>
      <c r="I336" s="10"/>
    </row>
    <row r="337" spans="4:9" x14ac:dyDescent="0.25">
      <c r="D337" s="10"/>
      <c r="E337" s="10"/>
      <c r="F337" s="10"/>
      <c r="G337" s="10"/>
      <c r="H337" s="10"/>
      <c r="I337" s="10"/>
    </row>
    <row r="338" spans="4:9" x14ac:dyDescent="0.25">
      <c r="D338" s="10"/>
      <c r="E338" s="10"/>
      <c r="F338" s="10"/>
      <c r="G338" s="10"/>
      <c r="H338" s="10"/>
      <c r="I338" s="10"/>
    </row>
    <row r="339" spans="4:9" x14ac:dyDescent="0.25">
      <c r="D339" s="10"/>
      <c r="E339" s="10"/>
      <c r="F339" s="10"/>
      <c r="G339" s="10"/>
      <c r="H339" s="10"/>
      <c r="I339" s="10"/>
    </row>
    <row r="340" spans="4:9" x14ac:dyDescent="0.25">
      <c r="D340" s="10"/>
      <c r="E340" s="10"/>
      <c r="F340" s="10"/>
      <c r="G340" s="10"/>
      <c r="H340" s="10"/>
      <c r="I340" s="10"/>
    </row>
    <row r="341" spans="4:9" x14ac:dyDescent="0.25">
      <c r="D341" s="10"/>
      <c r="E341" s="10"/>
      <c r="F341" s="10"/>
      <c r="G341" s="10"/>
      <c r="H341" s="10"/>
      <c r="I341" s="10"/>
    </row>
    <row r="342" spans="4:9" x14ac:dyDescent="0.25">
      <c r="D342" s="10"/>
      <c r="E342" s="10"/>
      <c r="F342" s="10"/>
      <c r="G342" s="10"/>
      <c r="H342" s="10"/>
      <c r="I342" s="10"/>
    </row>
    <row r="343" spans="4:9" x14ac:dyDescent="0.25">
      <c r="D343" s="10"/>
      <c r="E343" s="10"/>
      <c r="F343" s="10"/>
      <c r="G343" s="10"/>
      <c r="H343" s="10"/>
      <c r="I343" s="10"/>
    </row>
    <row r="344" spans="4:9" x14ac:dyDescent="0.25">
      <c r="D344" s="10"/>
      <c r="E344" s="10"/>
      <c r="F344" s="10"/>
      <c r="G344" s="10"/>
      <c r="H344" s="10"/>
      <c r="I344" s="10"/>
    </row>
    <row r="345" spans="4:9" x14ac:dyDescent="0.25">
      <c r="D345" s="10"/>
      <c r="E345" s="10"/>
      <c r="F345" s="10"/>
      <c r="G345" s="10"/>
      <c r="H345" s="10"/>
      <c r="I345" s="10"/>
    </row>
    <row r="346" spans="4:9" x14ac:dyDescent="0.25">
      <c r="D346" s="10"/>
      <c r="E346" s="10"/>
      <c r="F346" s="10"/>
      <c r="G346" s="10"/>
      <c r="H346" s="10"/>
      <c r="I346" s="10"/>
    </row>
    <row r="347" spans="4:9" x14ac:dyDescent="0.25">
      <c r="D347" s="10"/>
      <c r="E347" s="10"/>
      <c r="F347" s="10"/>
      <c r="G347" s="10"/>
      <c r="H347" s="10"/>
      <c r="I347" s="10"/>
    </row>
    <row r="348" spans="4:9" x14ac:dyDescent="0.25">
      <c r="D348" s="10"/>
      <c r="E348" s="10"/>
      <c r="F348" s="10"/>
      <c r="G348" s="10"/>
      <c r="H348" s="10"/>
      <c r="I348" s="10"/>
    </row>
    <row r="349" spans="4:9" x14ac:dyDescent="0.25">
      <c r="D349" s="10"/>
      <c r="E349" s="10"/>
      <c r="F349" s="10"/>
      <c r="G349" s="10"/>
      <c r="H349" s="10"/>
      <c r="I349" s="10"/>
    </row>
    <row r="350" spans="4:9" x14ac:dyDescent="0.25">
      <c r="D350" s="10"/>
      <c r="E350" s="10"/>
      <c r="F350" s="10"/>
      <c r="G350" s="10"/>
      <c r="H350" s="10"/>
      <c r="I350" s="10"/>
    </row>
    <row r="351" spans="4:9" x14ac:dyDescent="0.25">
      <c r="D351" s="10"/>
      <c r="E351" s="10"/>
      <c r="F351" s="10"/>
      <c r="G351" s="10"/>
      <c r="H351" s="10"/>
      <c r="I351" s="10"/>
    </row>
    <row r="352" spans="4:9" x14ac:dyDescent="0.25">
      <c r="D352" s="10"/>
      <c r="E352" s="10"/>
      <c r="F352" s="10"/>
      <c r="G352" s="10"/>
      <c r="H352" s="10"/>
      <c r="I352" s="10"/>
    </row>
    <row r="353" spans="4:9" x14ac:dyDescent="0.25">
      <c r="D353" s="10"/>
      <c r="E353" s="10"/>
      <c r="F353" s="10"/>
      <c r="G353" s="10"/>
      <c r="H353" s="10"/>
      <c r="I353" s="10"/>
    </row>
    <row r="354" spans="4:9" x14ac:dyDescent="0.25">
      <c r="D354" s="10"/>
      <c r="E354" s="10"/>
      <c r="F354" s="10"/>
      <c r="G354" s="10"/>
      <c r="H354" s="10"/>
      <c r="I354" s="10"/>
    </row>
    <row r="355" spans="4:9" x14ac:dyDescent="0.25">
      <c r="D355" s="10"/>
      <c r="E355" s="10"/>
      <c r="F355" s="10"/>
      <c r="G355" s="10"/>
      <c r="H355" s="10"/>
      <c r="I355" s="10"/>
    </row>
    <row r="356" spans="4:9" x14ac:dyDescent="0.25">
      <c r="D356" s="10"/>
      <c r="E356" s="10"/>
      <c r="F356" s="10"/>
      <c r="G356" s="10"/>
      <c r="H356" s="10"/>
      <c r="I356" s="10"/>
    </row>
    <row r="357" spans="4:9" x14ac:dyDescent="0.25">
      <c r="D357" s="10"/>
      <c r="E357" s="10"/>
      <c r="F357" s="10"/>
      <c r="G357" s="10"/>
      <c r="H357" s="10"/>
      <c r="I357" s="10"/>
    </row>
    <row r="358" spans="4:9" x14ac:dyDescent="0.25">
      <c r="D358" s="10"/>
      <c r="E358" s="10"/>
      <c r="F358" s="10"/>
      <c r="G358" s="10"/>
      <c r="H358" s="10"/>
      <c r="I358" s="10"/>
    </row>
    <row r="359" spans="4:9" x14ac:dyDescent="0.25">
      <c r="D359" s="10"/>
      <c r="E359" s="10"/>
      <c r="F359" s="10"/>
      <c r="G359" s="10"/>
      <c r="H359" s="10"/>
      <c r="I359" s="10"/>
    </row>
    <row r="360" spans="4:9" x14ac:dyDescent="0.25">
      <c r="D360" s="10"/>
      <c r="E360" s="10"/>
      <c r="F360" s="10"/>
      <c r="G360" s="10"/>
      <c r="H360" s="10"/>
      <c r="I360" s="10"/>
    </row>
    <row r="361" spans="4:9" x14ac:dyDescent="0.25">
      <c r="D361" s="10"/>
      <c r="E361" s="10"/>
      <c r="F361" s="10"/>
      <c r="G361" s="10"/>
      <c r="H361" s="10"/>
      <c r="I361" s="10"/>
    </row>
    <row r="362" spans="4:9" x14ac:dyDescent="0.25">
      <c r="D362" s="10"/>
      <c r="E362" s="10"/>
      <c r="F362" s="10"/>
      <c r="G362" s="10"/>
      <c r="H362" s="10"/>
      <c r="I362" s="10"/>
    </row>
    <row r="363" spans="4:9" x14ac:dyDescent="0.25">
      <c r="D363" s="10"/>
      <c r="E363" s="10"/>
      <c r="F363" s="10"/>
      <c r="G363" s="10"/>
      <c r="H363" s="10"/>
      <c r="I363" s="10"/>
    </row>
    <row r="364" spans="4:9" x14ac:dyDescent="0.25">
      <c r="D364" s="10"/>
      <c r="E364" s="10"/>
      <c r="F364" s="10"/>
      <c r="G364" s="10"/>
      <c r="H364" s="10"/>
      <c r="I364" s="10"/>
    </row>
    <row r="365" spans="4:9" x14ac:dyDescent="0.25">
      <c r="D365" s="10"/>
      <c r="E365" s="10"/>
      <c r="F365" s="10"/>
      <c r="G365" s="10"/>
      <c r="H365" s="10"/>
      <c r="I365" s="10"/>
    </row>
    <row r="366" spans="4:9" x14ac:dyDescent="0.25">
      <c r="D366" s="10"/>
      <c r="E366" s="10"/>
      <c r="F366" s="10"/>
      <c r="G366" s="10"/>
      <c r="H366" s="10"/>
      <c r="I366" s="10"/>
    </row>
    <row r="367" spans="4:9" x14ac:dyDescent="0.25">
      <c r="D367" s="10"/>
      <c r="E367" s="10"/>
      <c r="F367" s="10"/>
      <c r="G367" s="10"/>
      <c r="H367" s="10"/>
      <c r="I367" s="10"/>
    </row>
    <row r="368" spans="4:9" x14ac:dyDescent="0.25">
      <c r="D368" s="10"/>
      <c r="E368" s="10"/>
      <c r="F368" s="10"/>
      <c r="G368" s="10"/>
      <c r="H368" s="10"/>
      <c r="I368" s="10"/>
    </row>
    <row r="369" spans="4:9" x14ac:dyDescent="0.25">
      <c r="D369" s="10"/>
      <c r="E369" s="10"/>
      <c r="F369" s="10"/>
      <c r="G369" s="10"/>
      <c r="H369" s="10"/>
      <c r="I369" s="10"/>
    </row>
    <row r="370" spans="4:9" x14ac:dyDescent="0.25">
      <c r="D370" s="10"/>
      <c r="E370" s="10"/>
      <c r="F370" s="10"/>
      <c r="G370" s="10"/>
      <c r="H370" s="10"/>
      <c r="I370" s="10"/>
    </row>
    <row r="371" spans="4:9" x14ac:dyDescent="0.25">
      <c r="D371" s="10"/>
      <c r="E371" s="10"/>
      <c r="F371" s="10"/>
      <c r="G371" s="10"/>
      <c r="H371" s="10"/>
      <c r="I371" s="10"/>
    </row>
    <row r="372" spans="4:9" x14ac:dyDescent="0.25">
      <c r="D372" s="10"/>
      <c r="E372" s="10"/>
      <c r="F372" s="10"/>
      <c r="G372" s="10"/>
      <c r="H372" s="10"/>
      <c r="I372" s="10"/>
    </row>
    <row r="373" spans="4:9" x14ac:dyDescent="0.25">
      <c r="D373" s="10"/>
      <c r="E373" s="10"/>
      <c r="F373" s="10"/>
      <c r="G373" s="10"/>
      <c r="H373" s="10"/>
      <c r="I373" s="10"/>
    </row>
    <row r="374" spans="4:9" x14ac:dyDescent="0.25">
      <c r="D374" s="10"/>
      <c r="E374" s="10"/>
      <c r="F374" s="10"/>
      <c r="G374" s="10"/>
      <c r="H374" s="10"/>
      <c r="I374" s="10"/>
    </row>
    <row r="375" spans="4:9" x14ac:dyDescent="0.25">
      <c r="D375" s="10"/>
      <c r="E375" s="10"/>
      <c r="F375" s="10"/>
      <c r="G375" s="10"/>
      <c r="H375" s="10"/>
      <c r="I375" s="10"/>
    </row>
    <row r="376" spans="4:9" x14ac:dyDescent="0.25">
      <c r="D376" s="10"/>
      <c r="E376" s="10"/>
      <c r="F376" s="10"/>
      <c r="G376" s="10"/>
      <c r="H376" s="10"/>
      <c r="I376" s="10"/>
    </row>
    <row r="377" spans="4:9" x14ac:dyDescent="0.25">
      <c r="D377" s="10"/>
      <c r="E377" s="10"/>
      <c r="F377" s="10"/>
      <c r="G377" s="10"/>
      <c r="H377" s="10"/>
      <c r="I377" s="10"/>
    </row>
    <row r="378" spans="4:9" x14ac:dyDescent="0.25">
      <c r="D378" s="10"/>
      <c r="E378" s="10"/>
      <c r="F378" s="10"/>
      <c r="G378" s="10"/>
      <c r="H378" s="10"/>
      <c r="I378" s="10"/>
    </row>
    <row r="379" spans="4:9" x14ac:dyDescent="0.25">
      <c r="D379" s="10"/>
      <c r="E379" s="10"/>
      <c r="F379" s="10"/>
      <c r="G379" s="10"/>
      <c r="H379" s="10"/>
      <c r="I379" s="10"/>
    </row>
    <row r="380" spans="4:9" x14ac:dyDescent="0.25">
      <c r="D380" s="10"/>
      <c r="E380" s="10"/>
      <c r="F380" s="10"/>
      <c r="G380" s="10"/>
      <c r="H380" s="10"/>
      <c r="I380" s="10"/>
    </row>
    <row r="381" spans="4:9" x14ac:dyDescent="0.25">
      <c r="D381" s="10"/>
      <c r="E381" s="10"/>
      <c r="F381" s="10"/>
      <c r="G381" s="10"/>
      <c r="H381" s="10"/>
      <c r="I381" s="10"/>
    </row>
    <row r="382" spans="4:9" x14ac:dyDescent="0.25">
      <c r="D382" s="10"/>
      <c r="E382" s="10"/>
      <c r="F382" s="10"/>
      <c r="G382" s="10"/>
      <c r="H382" s="10"/>
      <c r="I382" s="10"/>
    </row>
    <row r="383" spans="4:9" x14ac:dyDescent="0.25">
      <c r="D383" s="10"/>
      <c r="E383" s="10"/>
      <c r="F383" s="10"/>
      <c r="G383" s="10"/>
      <c r="H383" s="10"/>
      <c r="I383" s="10"/>
    </row>
    <row r="384" spans="4:9" x14ac:dyDescent="0.25">
      <c r="D384" s="10"/>
      <c r="E384" s="10"/>
      <c r="F384" s="10"/>
      <c r="G384" s="10"/>
      <c r="H384" s="10"/>
      <c r="I384" s="10"/>
    </row>
    <row r="385" spans="4:9" x14ac:dyDescent="0.25">
      <c r="D385" s="10"/>
      <c r="E385" s="10"/>
      <c r="F385" s="10"/>
      <c r="G385" s="10"/>
      <c r="H385" s="10"/>
      <c r="I385" s="10"/>
    </row>
    <row r="386" spans="4:9" x14ac:dyDescent="0.25">
      <c r="D386" s="10"/>
      <c r="E386" s="10"/>
      <c r="F386" s="10"/>
      <c r="G386" s="10"/>
      <c r="H386" s="10"/>
      <c r="I386" s="10"/>
    </row>
    <row r="387" spans="4:9" x14ac:dyDescent="0.25">
      <c r="D387" s="10"/>
      <c r="E387" s="10"/>
      <c r="F387" s="10"/>
      <c r="G387" s="10"/>
      <c r="H387" s="10"/>
      <c r="I387" s="10"/>
    </row>
    <row r="388" spans="4:9" x14ac:dyDescent="0.25">
      <c r="D388" s="10"/>
      <c r="E388" s="10"/>
      <c r="F388" s="10"/>
      <c r="G388" s="10"/>
      <c r="H388" s="10"/>
      <c r="I388" s="10"/>
    </row>
    <row r="389" spans="4:9" x14ac:dyDescent="0.25">
      <c r="D389" s="10"/>
      <c r="E389" s="10"/>
      <c r="F389" s="10"/>
      <c r="G389" s="10"/>
      <c r="H389" s="10"/>
      <c r="I389" s="10"/>
    </row>
    <row r="390" spans="4:9" x14ac:dyDescent="0.25">
      <c r="D390" s="10"/>
      <c r="E390" s="10"/>
      <c r="F390" s="10"/>
      <c r="G390" s="10"/>
      <c r="H390" s="10"/>
      <c r="I390" s="10"/>
    </row>
    <row r="391" spans="4:9" x14ac:dyDescent="0.25">
      <c r="D391" s="10"/>
      <c r="E391" s="10"/>
      <c r="F391" s="10"/>
      <c r="G391" s="10"/>
      <c r="H391" s="10"/>
      <c r="I391" s="10"/>
    </row>
    <row r="392" spans="4:9" x14ac:dyDescent="0.25">
      <c r="D392" s="10"/>
      <c r="E392" s="10"/>
      <c r="F392" s="10"/>
      <c r="G392" s="10"/>
      <c r="H392" s="10"/>
      <c r="I392" s="10"/>
    </row>
    <row r="393" spans="4:9" x14ac:dyDescent="0.25">
      <c r="D393" s="10"/>
      <c r="E393" s="10"/>
      <c r="F393" s="10"/>
      <c r="G393" s="10"/>
      <c r="H393" s="10"/>
      <c r="I393" s="10"/>
    </row>
    <row r="394" spans="4:9" x14ac:dyDescent="0.25">
      <c r="D394" s="10"/>
      <c r="E394" s="10"/>
      <c r="F394" s="10"/>
      <c r="G394" s="10"/>
      <c r="H394" s="10"/>
      <c r="I394" s="10"/>
    </row>
    <row r="395" spans="4:9" x14ac:dyDescent="0.25">
      <c r="D395" s="10"/>
      <c r="E395" s="10"/>
      <c r="F395" s="10"/>
      <c r="G395" s="10"/>
      <c r="H395" s="10"/>
      <c r="I395" s="10"/>
    </row>
    <row r="396" spans="4:9" x14ac:dyDescent="0.25">
      <c r="D396" s="10"/>
      <c r="E396" s="10"/>
      <c r="F396" s="10"/>
      <c r="G396" s="10"/>
      <c r="H396" s="10"/>
      <c r="I396" s="10"/>
    </row>
    <row r="397" spans="4:9" x14ac:dyDescent="0.25">
      <c r="D397" s="10"/>
      <c r="E397" s="10"/>
      <c r="F397" s="10"/>
      <c r="G397" s="10"/>
      <c r="H397" s="10"/>
      <c r="I397" s="10"/>
    </row>
    <row r="398" spans="4:9" x14ac:dyDescent="0.25">
      <c r="D398" s="10"/>
      <c r="E398" s="10"/>
      <c r="F398" s="10"/>
      <c r="G398" s="10"/>
      <c r="H398" s="10"/>
      <c r="I398" s="10"/>
    </row>
    <row r="399" spans="4:9" x14ac:dyDescent="0.25">
      <c r="D399" s="10"/>
      <c r="E399" s="10"/>
      <c r="F399" s="10"/>
      <c r="G399" s="10"/>
      <c r="H399" s="10"/>
      <c r="I399" s="10"/>
    </row>
    <row r="400" spans="4:9" x14ac:dyDescent="0.25">
      <c r="D400" s="10"/>
      <c r="E400" s="10"/>
      <c r="F400" s="10"/>
      <c r="G400" s="10"/>
      <c r="H400" s="10"/>
      <c r="I400" s="10"/>
    </row>
    <row r="401" spans="4:9" x14ac:dyDescent="0.25">
      <c r="D401" s="10"/>
      <c r="E401" s="10"/>
      <c r="F401" s="10"/>
      <c r="G401" s="10"/>
      <c r="H401" s="10"/>
      <c r="I401" s="10"/>
    </row>
    <row r="402" spans="4:9" x14ac:dyDescent="0.25">
      <c r="D402" s="10"/>
      <c r="E402" s="10"/>
      <c r="F402" s="10"/>
      <c r="G402" s="10"/>
      <c r="H402" s="10"/>
      <c r="I402" s="10"/>
    </row>
    <row r="403" spans="4:9" x14ac:dyDescent="0.25">
      <c r="D403" s="10"/>
      <c r="E403" s="10"/>
      <c r="F403" s="10"/>
      <c r="G403" s="10"/>
      <c r="H403" s="10"/>
      <c r="I403" s="10"/>
    </row>
    <row r="404" spans="4:9" x14ac:dyDescent="0.25">
      <c r="D404" s="10"/>
      <c r="E404" s="10"/>
      <c r="F404" s="10"/>
      <c r="G404" s="10"/>
      <c r="H404" s="10"/>
      <c r="I404" s="10"/>
    </row>
    <row r="405" spans="4:9" x14ac:dyDescent="0.25">
      <c r="D405" s="10"/>
      <c r="E405" s="10"/>
      <c r="F405" s="10"/>
      <c r="G405" s="10"/>
      <c r="H405" s="10"/>
      <c r="I405" s="10"/>
    </row>
    <row r="406" spans="4:9" x14ac:dyDescent="0.25">
      <c r="D406" s="10"/>
      <c r="E406" s="10"/>
      <c r="F406" s="10"/>
      <c r="G406" s="10"/>
      <c r="H406" s="10"/>
      <c r="I406" s="10"/>
    </row>
    <row r="407" spans="4:9" x14ac:dyDescent="0.25">
      <c r="D407" s="10"/>
      <c r="E407" s="10"/>
      <c r="F407" s="10"/>
      <c r="G407" s="10"/>
      <c r="H407" s="10"/>
      <c r="I407" s="10"/>
    </row>
    <row r="408" spans="4:9" x14ac:dyDescent="0.25">
      <c r="D408" s="10"/>
      <c r="E408" s="10"/>
      <c r="F408" s="10"/>
      <c r="G408" s="10"/>
      <c r="H408" s="10"/>
      <c r="I408" s="10"/>
    </row>
    <row r="409" spans="4:9" x14ac:dyDescent="0.25">
      <c r="D409" s="10"/>
      <c r="E409" s="10"/>
      <c r="F409" s="10"/>
      <c r="G409" s="10"/>
      <c r="H409" s="10"/>
      <c r="I409" s="10"/>
    </row>
    <row r="410" spans="4:9" x14ac:dyDescent="0.25">
      <c r="D410" s="10"/>
      <c r="E410" s="10"/>
      <c r="F410" s="10"/>
      <c r="G410" s="10"/>
      <c r="H410" s="10"/>
      <c r="I410" s="10"/>
    </row>
    <row r="411" spans="4:9" x14ac:dyDescent="0.25">
      <c r="D411" s="10"/>
      <c r="E411" s="10"/>
      <c r="F411" s="10"/>
      <c r="G411" s="10"/>
      <c r="H411" s="10"/>
      <c r="I411" s="10"/>
    </row>
    <row r="412" spans="4:9" x14ac:dyDescent="0.25">
      <c r="D412" s="10"/>
      <c r="E412" s="10"/>
      <c r="F412" s="10"/>
      <c r="G412" s="10"/>
      <c r="H412" s="10"/>
      <c r="I412" s="10"/>
    </row>
    <row r="413" spans="4:9" x14ac:dyDescent="0.25">
      <c r="D413" s="10"/>
      <c r="E413" s="10"/>
      <c r="F413" s="10"/>
      <c r="G413" s="10"/>
      <c r="H413" s="10"/>
      <c r="I413" s="10"/>
    </row>
    <row r="414" spans="4:9" x14ac:dyDescent="0.25">
      <c r="D414" s="10"/>
      <c r="E414" s="10"/>
      <c r="F414" s="10"/>
      <c r="G414" s="10"/>
      <c r="H414" s="10"/>
      <c r="I414" s="10"/>
    </row>
    <row r="415" spans="4:9" x14ac:dyDescent="0.25">
      <c r="D415" s="10"/>
      <c r="E415" s="10"/>
      <c r="F415" s="10"/>
      <c r="G415" s="10"/>
      <c r="H415" s="10"/>
      <c r="I415" s="10"/>
    </row>
    <row r="416" spans="4:9" x14ac:dyDescent="0.25">
      <c r="D416" s="10"/>
      <c r="E416" s="10"/>
      <c r="F416" s="10"/>
      <c r="G416" s="10"/>
      <c r="H416" s="10"/>
      <c r="I416" s="10"/>
    </row>
    <row r="417" spans="4:9" x14ac:dyDescent="0.25">
      <c r="D417" s="10"/>
      <c r="E417" s="10"/>
      <c r="F417" s="10"/>
      <c r="G417" s="10"/>
      <c r="H417" s="10"/>
      <c r="I417" s="10"/>
    </row>
    <row r="418" spans="4:9" x14ac:dyDescent="0.25">
      <c r="D418" s="10"/>
      <c r="E418" s="10"/>
      <c r="F418" s="10"/>
      <c r="G418" s="10"/>
      <c r="H418" s="10"/>
      <c r="I418" s="10"/>
    </row>
    <row r="419" spans="4:9" x14ac:dyDescent="0.25">
      <c r="D419" s="10"/>
      <c r="E419" s="10"/>
      <c r="F419" s="10"/>
      <c r="G419" s="10"/>
      <c r="H419" s="10"/>
      <c r="I419" s="10"/>
    </row>
    <row r="420" spans="4:9" x14ac:dyDescent="0.25">
      <c r="D420" s="10"/>
      <c r="E420" s="10"/>
      <c r="F420" s="10"/>
      <c r="G420" s="10"/>
      <c r="H420" s="10"/>
      <c r="I420" s="10"/>
    </row>
    <row r="421" spans="4:9" x14ac:dyDescent="0.25">
      <c r="D421" s="10"/>
      <c r="E421" s="10"/>
      <c r="F421" s="10"/>
      <c r="G421" s="10"/>
      <c r="H421" s="10"/>
      <c r="I421" s="10"/>
    </row>
    <row r="422" spans="4:9" x14ac:dyDescent="0.25">
      <c r="D422" s="10"/>
      <c r="E422" s="10"/>
      <c r="F422" s="10"/>
      <c r="G422" s="10"/>
      <c r="H422" s="10"/>
      <c r="I422" s="10"/>
    </row>
    <row r="423" spans="4:9" x14ac:dyDescent="0.25">
      <c r="D423" s="10"/>
      <c r="E423" s="10"/>
      <c r="F423" s="10"/>
      <c r="G423" s="10"/>
      <c r="H423" s="10"/>
      <c r="I423" s="10"/>
    </row>
    <row r="424" spans="4:9" x14ac:dyDescent="0.25">
      <c r="D424" s="10"/>
      <c r="E424" s="10"/>
      <c r="F424" s="10"/>
      <c r="G424" s="10"/>
      <c r="H424" s="10"/>
      <c r="I424" s="10"/>
    </row>
    <row r="425" spans="4:9" x14ac:dyDescent="0.25">
      <c r="D425" s="10"/>
      <c r="E425" s="10"/>
      <c r="F425" s="10"/>
      <c r="G425" s="10"/>
      <c r="H425" s="10"/>
      <c r="I425" s="10"/>
    </row>
    <row r="426" spans="4:9" x14ac:dyDescent="0.25">
      <c r="D426" s="10"/>
      <c r="E426" s="10"/>
      <c r="F426" s="10"/>
      <c r="G426" s="10"/>
      <c r="H426" s="10"/>
      <c r="I426" s="10"/>
    </row>
    <row r="427" spans="4:9" x14ac:dyDescent="0.25">
      <c r="D427" s="10"/>
      <c r="E427" s="10"/>
      <c r="F427" s="10"/>
      <c r="G427" s="10"/>
      <c r="H427" s="10"/>
      <c r="I427" s="10"/>
    </row>
    <row r="428" spans="4:9" x14ac:dyDescent="0.25">
      <c r="D428" s="10"/>
      <c r="E428" s="10"/>
      <c r="F428" s="10"/>
      <c r="G428" s="10"/>
      <c r="H428" s="10"/>
      <c r="I428" s="10"/>
    </row>
    <row r="429" spans="4:9" x14ac:dyDescent="0.25">
      <c r="D429" s="10"/>
      <c r="E429" s="10"/>
      <c r="F429" s="10"/>
      <c r="G429" s="10"/>
      <c r="H429" s="10"/>
      <c r="I429" s="10"/>
    </row>
    <row r="430" spans="4:9" x14ac:dyDescent="0.25">
      <c r="D430" s="10"/>
      <c r="E430" s="10"/>
      <c r="F430" s="10"/>
      <c r="G430" s="10"/>
      <c r="H430" s="10"/>
      <c r="I430" s="10"/>
    </row>
    <row r="431" spans="4:9" x14ac:dyDescent="0.25">
      <c r="D431" s="10"/>
      <c r="E431" s="10"/>
      <c r="F431" s="10"/>
      <c r="G431" s="10"/>
      <c r="H431" s="10"/>
      <c r="I431" s="10"/>
    </row>
    <row r="432" spans="4:9" x14ac:dyDescent="0.25">
      <c r="D432" s="10"/>
      <c r="E432" s="10"/>
      <c r="F432" s="10"/>
      <c r="G432" s="10"/>
      <c r="H432" s="10"/>
      <c r="I432" s="10"/>
    </row>
    <row r="433" spans="4:9" x14ac:dyDescent="0.25">
      <c r="D433" s="10"/>
      <c r="E433" s="10"/>
      <c r="F433" s="10"/>
      <c r="G433" s="10"/>
      <c r="H433" s="10"/>
      <c r="I433" s="10"/>
    </row>
    <row r="434" spans="4:9" x14ac:dyDescent="0.25">
      <c r="D434" s="10"/>
      <c r="E434" s="10"/>
      <c r="F434" s="10"/>
      <c r="G434" s="10"/>
      <c r="H434" s="10"/>
      <c r="I434" s="10"/>
    </row>
    <row r="435" spans="4:9" x14ac:dyDescent="0.25">
      <c r="D435" s="10"/>
      <c r="E435" s="10"/>
      <c r="F435" s="10"/>
      <c r="G435" s="10"/>
      <c r="H435" s="10"/>
      <c r="I435" s="10"/>
    </row>
    <row r="436" spans="4:9" x14ac:dyDescent="0.25">
      <c r="D436" s="10"/>
      <c r="E436" s="10"/>
      <c r="F436" s="10"/>
      <c r="G436" s="10"/>
      <c r="H436" s="10"/>
      <c r="I436" s="10"/>
    </row>
    <row r="437" spans="4:9" x14ac:dyDescent="0.25">
      <c r="D437" s="10"/>
      <c r="E437" s="10"/>
      <c r="F437" s="10"/>
      <c r="G437" s="10"/>
      <c r="H437" s="10"/>
      <c r="I437" s="10"/>
    </row>
    <row r="438" spans="4:9" x14ac:dyDescent="0.25">
      <c r="D438" s="10"/>
      <c r="E438" s="10"/>
      <c r="F438" s="10"/>
      <c r="G438" s="10"/>
      <c r="H438" s="10"/>
      <c r="I438" s="10"/>
    </row>
    <row r="439" spans="4:9" x14ac:dyDescent="0.25">
      <c r="D439" s="10"/>
      <c r="E439" s="10"/>
      <c r="F439" s="10"/>
      <c r="G439" s="10"/>
      <c r="H439" s="10"/>
      <c r="I439" s="10"/>
    </row>
    <row r="440" spans="4:9" x14ac:dyDescent="0.25">
      <c r="D440" s="10"/>
      <c r="E440" s="10"/>
      <c r="F440" s="10"/>
      <c r="G440" s="10"/>
      <c r="H440" s="10"/>
      <c r="I440" s="10"/>
    </row>
    <row r="441" spans="4:9" x14ac:dyDescent="0.25">
      <c r="D441" s="10"/>
      <c r="E441" s="10"/>
      <c r="F441" s="10"/>
      <c r="G441" s="10"/>
      <c r="H441" s="10"/>
      <c r="I441" s="10"/>
    </row>
    <row r="442" spans="4:9" x14ac:dyDescent="0.25">
      <c r="D442" s="10"/>
      <c r="E442" s="10"/>
      <c r="F442" s="10"/>
      <c r="G442" s="10"/>
      <c r="H442" s="10"/>
      <c r="I442" s="10"/>
    </row>
    <row r="443" spans="4:9" x14ac:dyDescent="0.25">
      <c r="D443" s="10"/>
      <c r="E443" s="10"/>
      <c r="F443" s="10"/>
      <c r="G443" s="10"/>
      <c r="H443" s="10"/>
      <c r="I443" s="10"/>
    </row>
    <row r="444" spans="4:9" x14ac:dyDescent="0.25">
      <c r="D444" s="10"/>
      <c r="E444" s="10"/>
      <c r="F444" s="10"/>
      <c r="G444" s="10"/>
      <c r="H444" s="10"/>
      <c r="I444" s="10"/>
    </row>
    <row r="445" spans="4:9" x14ac:dyDescent="0.25">
      <c r="D445" s="10"/>
      <c r="E445" s="10"/>
      <c r="F445" s="10"/>
      <c r="G445" s="10"/>
      <c r="H445" s="10"/>
      <c r="I445" s="10"/>
    </row>
    <row r="446" spans="4:9" x14ac:dyDescent="0.25">
      <c r="D446" s="10"/>
      <c r="E446" s="10"/>
      <c r="F446" s="10"/>
      <c r="G446" s="10"/>
      <c r="H446" s="10"/>
      <c r="I446" s="10"/>
    </row>
    <row r="447" spans="4:9" x14ac:dyDescent="0.25">
      <c r="D447" s="10"/>
      <c r="E447" s="10"/>
      <c r="F447" s="10"/>
      <c r="G447" s="10"/>
      <c r="H447" s="10"/>
      <c r="I447" s="10"/>
    </row>
    <row r="448" spans="4:9" x14ac:dyDescent="0.25">
      <c r="D448" s="10"/>
      <c r="E448" s="10"/>
      <c r="F448" s="10"/>
      <c r="G448" s="10"/>
      <c r="H448" s="10"/>
      <c r="I448" s="10"/>
    </row>
    <row r="449" spans="4:9" x14ac:dyDescent="0.25">
      <c r="D449" s="10"/>
      <c r="E449" s="10"/>
      <c r="F449" s="10"/>
      <c r="G449" s="10"/>
      <c r="H449" s="10"/>
      <c r="I449" s="10"/>
    </row>
    <row r="450" spans="4:9" x14ac:dyDescent="0.25">
      <c r="D450" s="10"/>
      <c r="E450" s="10"/>
      <c r="F450" s="10"/>
      <c r="G450" s="10"/>
      <c r="H450" s="10"/>
      <c r="I450" s="10"/>
    </row>
    <row r="451" spans="4:9" x14ac:dyDescent="0.25">
      <c r="D451" s="10"/>
      <c r="E451" s="10"/>
      <c r="F451" s="10"/>
      <c r="G451" s="10"/>
      <c r="H451" s="10"/>
      <c r="I451" s="10"/>
    </row>
    <row r="452" spans="4:9" x14ac:dyDescent="0.25">
      <c r="D452" s="10"/>
      <c r="E452" s="10"/>
      <c r="F452" s="10"/>
      <c r="G452" s="10"/>
      <c r="H452" s="10"/>
      <c r="I452" s="10"/>
    </row>
    <row r="453" spans="4:9" x14ac:dyDescent="0.25">
      <c r="D453" s="10"/>
      <c r="E453" s="10"/>
      <c r="F453" s="10"/>
      <c r="G453" s="10"/>
      <c r="H453" s="10"/>
      <c r="I453" s="10"/>
    </row>
    <row r="454" spans="4:9" x14ac:dyDescent="0.25">
      <c r="D454" s="10"/>
      <c r="E454" s="10"/>
      <c r="F454" s="10"/>
      <c r="G454" s="10"/>
      <c r="H454" s="10"/>
      <c r="I454" s="10"/>
    </row>
    <row r="455" spans="4:9" x14ac:dyDescent="0.25">
      <c r="D455" s="10"/>
      <c r="E455" s="10"/>
      <c r="F455" s="10"/>
      <c r="G455" s="10"/>
      <c r="H455" s="10"/>
      <c r="I455" s="10"/>
    </row>
    <row r="456" spans="4:9" x14ac:dyDescent="0.25">
      <c r="D456" s="10"/>
      <c r="E456" s="10"/>
      <c r="F456" s="10"/>
      <c r="G456" s="10"/>
      <c r="H456" s="10"/>
      <c r="I456" s="10"/>
    </row>
    <row r="457" spans="4:9" x14ac:dyDescent="0.25">
      <c r="D457" s="10"/>
      <c r="E457" s="10"/>
      <c r="F457" s="10"/>
      <c r="G457" s="10"/>
      <c r="H457" s="10"/>
      <c r="I457" s="10"/>
    </row>
    <row r="458" spans="4:9" x14ac:dyDescent="0.25">
      <c r="D458" s="10"/>
      <c r="E458" s="10"/>
      <c r="F458" s="10"/>
      <c r="G458" s="10"/>
      <c r="H458" s="10"/>
      <c r="I458" s="10"/>
    </row>
    <row r="459" spans="4:9" x14ac:dyDescent="0.25">
      <c r="D459" s="10"/>
      <c r="E459" s="10"/>
      <c r="F459" s="10"/>
      <c r="G459" s="10"/>
      <c r="H459" s="10"/>
      <c r="I459" s="10"/>
    </row>
    <row r="460" spans="4:9" x14ac:dyDescent="0.25">
      <c r="D460" s="10"/>
      <c r="E460" s="10"/>
      <c r="F460" s="10"/>
      <c r="G460" s="10"/>
      <c r="H460" s="10"/>
      <c r="I460" s="10"/>
    </row>
    <row r="461" spans="4:9" x14ac:dyDescent="0.25">
      <c r="D461" s="10"/>
      <c r="E461" s="10"/>
      <c r="F461" s="10"/>
      <c r="G461" s="10"/>
      <c r="H461" s="10"/>
      <c r="I461" s="10"/>
    </row>
    <row r="462" spans="4:9" x14ac:dyDescent="0.25">
      <c r="D462" s="10"/>
      <c r="E462" s="10"/>
      <c r="F462" s="10"/>
      <c r="G462" s="10"/>
      <c r="H462" s="10"/>
      <c r="I462" s="10"/>
    </row>
    <row r="463" spans="4:9" x14ac:dyDescent="0.25">
      <c r="D463" s="10"/>
      <c r="E463" s="10"/>
      <c r="F463" s="10"/>
      <c r="G463" s="10"/>
      <c r="H463" s="10"/>
      <c r="I463" s="10"/>
    </row>
    <row r="464" spans="4:9" x14ac:dyDescent="0.25">
      <c r="D464" s="10"/>
      <c r="E464" s="10"/>
      <c r="F464" s="10"/>
      <c r="G464" s="10"/>
      <c r="H464" s="10"/>
      <c r="I464" s="10"/>
    </row>
    <row r="465" spans="4:9" x14ac:dyDescent="0.25">
      <c r="D465" s="10"/>
      <c r="E465" s="10"/>
      <c r="F465" s="10"/>
      <c r="G465" s="10"/>
      <c r="H465" s="10"/>
      <c r="I465" s="10"/>
    </row>
    <row r="466" spans="4:9" x14ac:dyDescent="0.25">
      <c r="D466" s="10"/>
      <c r="E466" s="10"/>
      <c r="F466" s="10"/>
      <c r="G466" s="10"/>
      <c r="H466" s="10"/>
      <c r="I466" s="10"/>
    </row>
    <row r="467" spans="4:9" x14ac:dyDescent="0.25">
      <c r="D467" s="10"/>
      <c r="E467" s="10"/>
      <c r="F467" s="10"/>
      <c r="G467" s="10"/>
      <c r="H467" s="10"/>
      <c r="I467" s="10"/>
    </row>
    <row r="468" spans="4:9" x14ac:dyDescent="0.25">
      <c r="D468" s="10"/>
      <c r="E468" s="10"/>
      <c r="F468" s="10"/>
      <c r="G468" s="10"/>
      <c r="H468" s="10"/>
      <c r="I468" s="10"/>
    </row>
    <row r="469" spans="4:9" x14ac:dyDescent="0.25">
      <c r="D469" s="10"/>
      <c r="E469" s="10"/>
      <c r="F469" s="10"/>
      <c r="G469" s="10"/>
      <c r="H469" s="10"/>
      <c r="I469" s="10"/>
    </row>
    <row r="470" spans="4:9" x14ac:dyDescent="0.25">
      <c r="D470" s="10"/>
      <c r="E470" s="10"/>
      <c r="F470" s="10"/>
      <c r="G470" s="10"/>
      <c r="H470" s="10"/>
      <c r="I470" s="10"/>
    </row>
    <row r="471" spans="4:9" x14ac:dyDescent="0.25">
      <c r="D471" s="10"/>
      <c r="E471" s="10"/>
      <c r="F471" s="10"/>
      <c r="G471" s="10"/>
      <c r="H471" s="10"/>
      <c r="I471" s="10"/>
    </row>
    <row r="472" spans="4:9" x14ac:dyDescent="0.25">
      <c r="D472" s="10"/>
      <c r="E472" s="10"/>
      <c r="F472" s="10"/>
      <c r="G472" s="10"/>
      <c r="H472" s="10"/>
      <c r="I472" s="10"/>
    </row>
    <row r="473" spans="4:9" x14ac:dyDescent="0.25">
      <c r="D473" s="10"/>
      <c r="E473" s="10"/>
      <c r="F473" s="10"/>
      <c r="G473" s="10"/>
      <c r="H473" s="10"/>
      <c r="I473" s="10"/>
    </row>
    <row r="474" spans="4:9" x14ac:dyDescent="0.25">
      <c r="D474" s="10"/>
      <c r="E474" s="10"/>
      <c r="F474" s="10"/>
      <c r="G474" s="10"/>
      <c r="H474" s="10"/>
      <c r="I474" s="10"/>
    </row>
    <row r="475" spans="4:9" x14ac:dyDescent="0.25">
      <c r="D475" s="10"/>
      <c r="E475" s="10"/>
      <c r="F475" s="10"/>
      <c r="G475" s="10"/>
      <c r="H475" s="10"/>
      <c r="I475" s="10"/>
    </row>
    <row r="476" spans="4:9" x14ac:dyDescent="0.25">
      <c r="D476" s="10"/>
      <c r="E476" s="10"/>
      <c r="F476" s="10"/>
      <c r="G476" s="10"/>
      <c r="H476" s="10"/>
      <c r="I476" s="10"/>
    </row>
    <row r="477" spans="4:9" x14ac:dyDescent="0.25">
      <c r="D477" s="10"/>
      <c r="E477" s="10"/>
      <c r="F477" s="10"/>
      <c r="G477" s="10"/>
      <c r="H477" s="10"/>
      <c r="I477" s="10"/>
    </row>
    <row r="478" spans="4:9" x14ac:dyDescent="0.25">
      <c r="D478" s="10"/>
      <c r="E478" s="10"/>
      <c r="F478" s="10"/>
      <c r="G478" s="10"/>
      <c r="H478" s="10"/>
      <c r="I478" s="10"/>
    </row>
    <row r="479" spans="4:9" x14ac:dyDescent="0.25">
      <c r="D479" s="10"/>
      <c r="E479" s="10"/>
      <c r="F479" s="10"/>
      <c r="G479" s="10"/>
      <c r="H479" s="10"/>
      <c r="I479" s="10"/>
    </row>
    <row r="480" spans="4:9" x14ac:dyDescent="0.25">
      <c r="D480" s="10"/>
      <c r="E480" s="10"/>
      <c r="F480" s="10"/>
      <c r="G480" s="10"/>
      <c r="H480" s="10"/>
      <c r="I480" s="10"/>
    </row>
    <row r="481" spans="4:9" x14ac:dyDescent="0.25">
      <c r="D481" s="10"/>
      <c r="E481" s="10"/>
      <c r="F481" s="10"/>
      <c r="G481" s="10"/>
      <c r="H481" s="10"/>
      <c r="I481" s="10"/>
    </row>
    <row r="482" spans="4:9" x14ac:dyDescent="0.25">
      <c r="D482" s="10"/>
      <c r="E482" s="10"/>
      <c r="F482" s="10"/>
      <c r="G482" s="10"/>
      <c r="H482" s="10"/>
      <c r="I482" s="10"/>
    </row>
    <row r="483" spans="4:9" x14ac:dyDescent="0.25">
      <c r="D483" s="10"/>
      <c r="E483" s="10"/>
      <c r="F483" s="10"/>
      <c r="G483" s="10"/>
      <c r="H483" s="10"/>
      <c r="I483" s="10"/>
    </row>
    <row r="484" spans="4:9" x14ac:dyDescent="0.25">
      <c r="D484" s="10"/>
      <c r="E484" s="10"/>
      <c r="F484" s="10"/>
      <c r="G484" s="10"/>
      <c r="H484" s="10"/>
      <c r="I484" s="10"/>
    </row>
    <row r="485" spans="4:9" x14ac:dyDescent="0.25">
      <c r="D485" s="10"/>
      <c r="E485" s="10"/>
      <c r="F485" s="10"/>
      <c r="G485" s="10"/>
      <c r="H485" s="10"/>
      <c r="I485" s="10"/>
    </row>
    <row r="486" spans="4:9" x14ac:dyDescent="0.25">
      <c r="D486" s="10"/>
      <c r="E486" s="10"/>
      <c r="F486" s="10"/>
      <c r="G486" s="10"/>
      <c r="H486" s="10"/>
      <c r="I486" s="10"/>
    </row>
    <row r="487" spans="4:9" x14ac:dyDescent="0.25">
      <c r="D487" s="10"/>
      <c r="E487" s="10"/>
      <c r="F487" s="10"/>
      <c r="G487" s="10"/>
      <c r="H487" s="10"/>
      <c r="I487" s="10"/>
    </row>
    <row r="488" spans="4:9" x14ac:dyDescent="0.25">
      <c r="D488" s="10"/>
      <c r="E488" s="10"/>
      <c r="F488" s="10"/>
      <c r="G488" s="10"/>
      <c r="H488" s="10"/>
      <c r="I488" s="10"/>
    </row>
    <row r="489" spans="4:9" x14ac:dyDescent="0.25">
      <c r="D489" s="10"/>
      <c r="E489" s="10"/>
      <c r="F489" s="10"/>
      <c r="G489" s="10"/>
      <c r="H489" s="10"/>
      <c r="I489" s="10"/>
    </row>
    <row r="490" spans="4:9" x14ac:dyDescent="0.25">
      <c r="D490" s="10"/>
      <c r="E490" s="10"/>
      <c r="F490" s="10"/>
      <c r="G490" s="10"/>
      <c r="H490" s="10"/>
      <c r="I490" s="10"/>
    </row>
    <row r="491" spans="4:9" x14ac:dyDescent="0.25">
      <c r="D491" s="10"/>
      <c r="E491" s="10"/>
      <c r="F491" s="10"/>
      <c r="G491" s="10"/>
      <c r="H491" s="10"/>
      <c r="I491" s="10"/>
    </row>
    <row r="492" spans="4:9" x14ac:dyDescent="0.25">
      <c r="D492" s="10"/>
      <c r="E492" s="10"/>
      <c r="F492" s="10"/>
      <c r="G492" s="10"/>
      <c r="H492" s="10"/>
      <c r="I492" s="10"/>
    </row>
    <row r="493" spans="4:9" x14ac:dyDescent="0.25">
      <c r="D493" s="10"/>
      <c r="E493" s="10"/>
      <c r="F493" s="10"/>
      <c r="G493" s="10"/>
      <c r="H493" s="10"/>
      <c r="I493" s="10"/>
    </row>
    <row r="494" spans="4:9" x14ac:dyDescent="0.25">
      <c r="D494" s="10"/>
      <c r="E494" s="10"/>
      <c r="F494" s="10"/>
      <c r="G494" s="10"/>
      <c r="H494" s="10"/>
      <c r="I494" s="10"/>
    </row>
    <row r="495" spans="4:9" x14ac:dyDescent="0.25">
      <c r="D495" s="10"/>
      <c r="E495" s="10"/>
      <c r="F495" s="10"/>
      <c r="G495" s="10"/>
      <c r="H495" s="10"/>
      <c r="I495" s="10"/>
    </row>
    <row r="496" spans="4:9" x14ac:dyDescent="0.25">
      <c r="D496" s="10"/>
      <c r="E496" s="10"/>
      <c r="F496" s="10"/>
      <c r="G496" s="10"/>
      <c r="H496" s="10"/>
      <c r="I496" s="10"/>
    </row>
    <row r="497" spans="4:9" x14ac:dyDescent="0.25">
      <c r="D497" s="10"/>
      <c r="E497" s="10"/>
      <c r="F497" s="10"/>
      <c r="G497" s="10"/>
      <c r="H497" s="10"/>
      <c r="I497" s="10"/>
    </row>
    <row r="498" spans="4:9" x14ac:dyDescent="0.25">
      <c r="D498" s="10"/>
      <c r="E498" s="10"/>
      <c r="F498" s="10"/>
      <c r="G498" s="10"/>
      <c r="H498" s="10"/>
      <c r="I498" s="10"/>
    </row>
    <row r="499" spans="4:9" x14ac:dyDescent="0.25">
      <c r="D499" s="10"/>
      <c r="E499" s="10"/>
      <c r="F499" s="10"/>
      <c r="G499" s="10"/>
      <c r="H499" s="10"/>
      <c r="I499" s="10"/>
    </row>
    <row r="500" spans="4:9" x14ac:dyDescent="0.25">
      <c r="D500" s="10"/>
      <c r="E500" s="10"/>
      <c r="F500" s="10"/>
      <c r="G500" s="10"/>
      <c r="H500" s="10"/>
      <c r="I500" s="10"/>
    </row>
    <row r="501" spans="4:9" x14ac:dyDescent="0.25">
      <c r="D501" s="10"/>
      <c r="E501" s="10"/>
      <c r="F501" s="10"/>
      <c r="G501" s="10"/>
      <c r="H501" s="10"/>
      <c r="I501" s="10"/>
    </row>
    <row r="502" spans="4:9" x14ac:dyDescent="0.25">
      <c r="D502" s="10"/>
      <c r="E502" s="10"/>
      <c r="F502" s="10"/>
      <c r="G502" s="10"/>
      <c r="H502" s="10"/>
      <c r="I502" s="10"/>
    </row>
    <row r="503" spans="4:9" x14ac:dyDescent="0.25">
      <c r="D503" s="10"/>
      <c r="E503" s="10"/>
      <c r="F503" s="10"/>
      <c r="G503" s="10"/>
      <c r="H503" s="10"/>
      <c r="I503" s="10"/>
    </row>
    <row r="504" spans="4:9" x14ac:dyDescent="0.25">
      <c r="D504" s="10"/>
      <c r="E504" s="10"/>
      <c r="F504" s="10"/>
      <c r="G504" s="10"/>
      <c r="H504" s="10"/>
      <c r="I504" s="10"/>
    </row>
    <row r="505" spans="4:9" x14ac:dyDescent="0.25">
      <c r="D505" s="10"/>
      <c r="E505" s="10"/>
      <c r="F505" s="10"/>
      <c r="G505" s="10"/>
      <c r="H505" s="10"/>
      <c r="I505" s="10"/>
    </row>
    <row r="506" spans="4:9" x14ac:dyDescent="0.25">
      <c r="D506" s="10"/>
      <c r="E506" s="10"/>
      <c r="F506" s="10"/>
      <c r="G506" s="10"/>
      <c r="H506" s="10"/>
      <c r="I506" s="10"/>
    </row>
    <row r="507" spans="4:9" x14ac:dyDescent="0.25">
      <c r="D507" s="10"/>
      <c r="E507" s="10"/>
      <c r="F507" s="10"/>
      <c r="G507" s="10"/>
      <c r="H507" s="10"/>
      <c r="I507" s="10"/>
    </row>
    <row r="508" spans="4:9" x14ac:dyDescent="0.25">
      <c r="D508" s="10"/>
      <c r="E508" s="10"/>
      <c r="F508" s="10"/>
      <c r="G508" s="10"/>
      <c r="H508" s="10"/>
      <c r="I508" s="10"/>
    </row>
    <row r="509" spans="4:9" x14ac:dyDescent="0.25">
      <c r="D509" s="10"/>
      <c r="E509" s="10"/>
      <c r="F509" s="10"/>
      <c r="G509" s="10"/>
      <c r="H509" s="10"/>
      <c r="I509" s="10"/>
    </row>
    <row r="510" spans="4:9" x14ac:dyDescent="0.25">
      <c r="D510" s="10"/>
      <c r="E510" s="10"/>
      <c r="F510" s="10"/>
      <c r="G510" s="10"/>
      <c r="H510" s="10"/>
      <c r="I510" s="10"/>
    </row>
    <row r="511" spans="4:9" x14ac:dyDescent="0.25">
      <c r="D511" s="10"/>
      <c r="E511" s="10"/>
      <c r="F511" s="10"/>
      <c r="G511" s="10"/>
      <c r="H511" s="10"/>
      <c r="I511" s="10"/>
    </row>
    <row r="512" spans="4:9" x14ac:dyDescent="0.25">
      <c r="D512" s="10"/>
      <c r="E512" s="10"/>
      <c r="F512" s="10"/>
      <c r="G512" s="10"/>
      <c r="H512" s="10"/>
      <c r="I512" s="10"/>
    </row>
    <row r="513" spans="4:9" x14ac:dyDescent="0.25">
      <c r="D513" s="10"/>
      <c r="E513" s="10"/>
      <c r="F513" s="10"/>
      <c r="G513" s="10"/>
      <c r="H513" s="10"/>
      <c r="I513" s="10"/>
    </row>
    <row r="514" spans="4:9" x14ac:dyDescent="0.25">
      <c r="D514" s="10"/>
      <c r="E514" s="10"/>
      <c r="F514" s="10"/>
      <c r="G514" s="10"/>
      <c r="H514" s="10"/>
      <c r="I514" s="10"/>
    </row>
    <row r="515" spans="4:9" x14ac:dyDescent="0.25">
      <c r="D515" s="10"/>
      <c r="E515" s="10"/>
      <c r="F515" s="10"/>
      <c r="G515" s="10"/>
      <c r="H515" s="10"/>
      <c r="I515" s="10"/>
    </row>
    <row r="516" spans="4:9" x14ac:dyDescent="0.25">
      <c r="D516" s="10"/>
      <c r="E516" s="10"/>
      <c r="F516" s="10"/>
      <c r="G516" s="10"/>
      <c r="H516" s="10"/>
      <c r="I516" s="10"/>
    </row>
    <row r="517" spans="4:9" x14ac:dyDescent="0.25">
      <c r="D517" s="10"/>
      <c r="E517" s="10"/>
      <c r="F517" s="10"/>
      <c r="G517" s="10"/>
      <c r="H517" s="10"/>
      <c r="I517" s="10"/>
    </row>
    <row r="518" spans="4:9" x14ac:dyDescent="0.25">
      <c r="D518" s="10"/>
      <c r="E518" s="10"/>
      <c r="F518" s="10"/>
      <c r="G518" s="10"/>
      <c r="H518" s="10"/>
      <c r="I518" s="10"/>
    </row>
    <row r="519" spans="4:9" x14ac:dyDescent="0.25">
      <c r="D519" s="10"/>
      <c r="E519" s="10"/>
      <c r="F519" s="10"/>
      <c r="G519" s="10"/>
      <c r="H519" s="10"/>
      <c r="I519" s="10"/>
    </row>
    <row r="520" spans="4:9" x14ac:dyDescent="0.25">
      <c r="D520" s="10"/>
      <c r="E520" s="10"/>
      <c r="F520" s="10"/>
      <c r="G520" s="10"/>
      <c r="H520" s="10"/>
      <c r="I520" s="10"/>
    </row>
    <row r="521" spans="4:9" x14ac:dyDescent="0.25">
      <c r="D521" s="10"/>
      <c r="E521" s="10"/>
      <c r="F521" s="10"/>
      <c r="G521" s="10"/>
      <c r="H521" s="10"/>
      <c r="I521" s="10"/>
    </row>
    <row r="522" spans="4:9" x14ac:dyDescent="0.25">
      <c r="D522" s="10"/>
      <c r="E522" s="10"/>
      <c r="F522" s="10"/>
      <c r="G522" s="10"/>
      <c r="H522" s="10"/>
      <c r="I522" s="10"/>
    </row>
    <row r="523" spans="4:9" x14ac:dyDescent="0.25">
      <c r="D523" s="10"/>
      <c r="E523" s="10"/>
      <c r="F523" s="10"/>
      <c r="G523" s="10"/>
      <c r="H523" s="10"/>
      <c r="I523" s="10"/>
    </row>
    <row r="524" spans="4:9" x14ac:dyDescent="0.25">
      <c r="D524" s="10"/>
      <c r="E524" s="10"/>
      <c r="F524" s="10"/>
      <c r="G524" s="10"/>
      <c r="H524" s="10"/>
      <c r="I524" s="10"/>
    </row>
    <row r="525" spans="4:9" x14ac:dyDescent="0.25">
      <c r="D525" s="10"/>
      <c r="E525" s="10"/>
      <c r="F525" s="10"/>
      <c r="G525" s="10"/>
      <c r="H525" s="10"/>
      <c r="I525" s="10"/>
    </row>
    <row r="526" spans="4:9" x14ac:dyDescent="0.25">
      <c r="D526" s="10"/>
      <c r="E526" s="10"/>
      <c r="F526" s="10"/>
      <c r="G526" s="10"/>
      <c r="H526" s="10"/>
      <c r="I526" s="10"/>
    </row>
    <row r="527" spans="4:9" x14ac:dyDescent="0.25">
      <c r="D527" s="10"/>
      <c r="E527" s="10"/>
      <c r="F527" s="10"/>
      <c r="G527" s="10"/>
      <c r="H527" s="10"/>
      <c r="I527" s="10"/>
    </row>
    <row r="528" spans="4:9" x14ac:dyDescent="0.25">
      <c r="D528" s="10"/>
      <c r="E528" s="10"/>
      <c r="F528" s="10"/>
      <c r="G528" s="10"/>
      <c r="H528" s="10"/>
      <c r="I528" s="10"/>
    </row>
    <row r="529" spans="4:9" x14ac:dyDescent="0.25">
      <c r="D529" s="10"/>
      <c r="E529" s="10"/>
      <c r="F529" s="10"/>
      <c r="G529" s="10"/>
      <c r="H529" s="10"/>
      <c r="I529" s="10"/>
    </row>
    <row r="530" spans="4:9" x14ac:dyDescent="0.25">
      <c r="D530" s="10"/>
      <c r="E530" s="10"/>
      <c r="F530" s="10"/>
      <c r="G530" s="10"/>
      <c r="H530" s="10"/>
      <c r="I530" s="10"/>
    </row>
    <row r="531" spans="4:9" x14ac:dyDescent="0.25">
      <c r="D531" s="10"/>
      <c r="E531" s="10"/>
      <c r="F531" s="10"/>
      <c r="G531" s="10"/>
      <c r="H531" s="10"/>
      <c r="I531" s="10"/>
    </row>
    <row r="532" spans="4:9" x14ac:dyDescent="0.25">
      <c r="D532" s="10"/>
      <c r="E532" s="10"/>
      <c r="F532" s="10"/>
      <c r="G532" s="10"/>
      <c r="H532" s="10"/>
      <c r="I532" s="10"/>
    </row>
    <row r="533" spans="4:9" x14ac:dyDescent="0.25">
      <c r="D533" s="10"/>
      <c r="E533" s="10"/>
      <c r="F533" s="10"/>
      <c r="G533" s="10"/>
      <c r="H533" s="10"/>
      <c r="I533" s="10"/>
    </row>
    <row r="534" spans="4:9" x14ac:dyDescent="0.25">
      <c r="D534" s="10"/>
      <c r="E534" s="10"/>
      <c r="F534" s="10"/>
      <c r="G534" s="10"/>
      <c r="H534" s="10"/>
      <c r="I534" s="10"/>
    </row>
    <row r="535" spans="4:9" x14ac:dyDescent="0.25">
      <c r="D535" s="10"/>
      <c r="E535" s="10"/>
      <c r="F535" s="10"/>
      <c r="G535" s="10"/>
      <c r="H535" s="10"/>
      <c r="I535" s="10"/>
    </row>
    <row r="536" spans="4:9" x14ac:dyDescent="0.25">
      <c r="D536" s="10"/>
      <c r="E536" s="10"/>
      <c r="F536" s="10"/>
      <c r="G536" s="10"/>
      <c r="H536" s="10"/>
      <c r="I536" s="10"/>
    </row>
    <row r="537" spans="4:9" x14ac:dyDescent="0.25">
      <c r="D537" s="10"/>
      <c r="E537" s="10"/>
      <c r="F537" s="10"/>
      <c r="G537" s="10"/>
      <c r="H537" s="10"/>
      <c r="I537" s="10"/>
    </row>
    <row r="538" spans="4:9" x14ac:dyDescent="0.25">
      <c r="D538" s="10"/>
      <c r="E538" s="10"/>
      <c r="F538" s="10"/>
      <c r="G538" s="10"/>
      <c r="H538" s="10"/>
      <c r="I538" s="10"/>
    </row>
    <row r="539" spans="4:9" x14ac:dyDescent="0.25">
      <c r="D539" s="10"/>
      <c r="E539" s="10"/>
      <c r="F539" s="10"/>
      <c r="G539" s="10"/>
      <c r="H539" s="10"/>
      <c r="I539" s="10"/>
    </row>
    <row r="540" spans="4:9" x14ac:dyDescent="0.25">
      <c r="D540" s="10"/>
      <c r="E540" s="10"/>
      <c r="F540" s="10"/>
      <c r="G540" s="10"/>
      <c r="H540" s="10"/>
      <c r="I540" s="10"/>
    </row>
    <row r="541" spans="4:9" x14ac:dyDescent="0.25">
      <c r="D541" s="10"/>
      <c r="E541" s="10"/>
      <c r="F541" s="10"/>
      <c r="G541" s="10"/>
      <c r="H541" s="10"/>
      <c r="I541" s="10"/>
    </row>
    <row r="542" spans="4:9" x14ac:dyDescent="0.25">
      <c r="D542" s="10"/>
      <c r="E542" s="10"/>
      <c r="F542" s="10"/>
      <c r="G542" s="10"/>
      <c r="H542" s="10"/>
      <c r="I542" s="10"/>
    </row>
    <row r="543" spans="4:9" x14ac:dyDescent="0.25">
      <c r="D543" s="10"/>
      <c r="E543" s="10"/>
      <c r="F543" s="10"/>
      <c r="G543" s="10"/>
      <c r="H543" s="10"/>
      <c r="I543" s="10"/>
    </row>
    <row r="544" spans="4:9" x14ac:dyDescent="0.25">
      <c r="D544" s="10"/>
      <c r="E544" s="10"/>
      <c r="F544" s="10"/>
      <c r="G544" s="10"/>
      <c r="H544" s="10"/>
      <c r="I544" s="10"/>
    </row>
    <row r="545" spans="4:9" x14ac:dyDescent="0.25">
      <c r="D545" s="10"/>
      <c r="E545" s="10"/>
      <c r="F545" s="10"/>
      <c r="G545" s="10"/>
      <c r="H545" s="10"/>
      <c r="I545" s="10"/>
    </row>
    <row r="546" spans="4:9" x14ac:dyDescent="0.25">
      <c r="D546" s="10"/>
      <c r="E546" s="10"/>
      <c r="F546" s="10"/>
      <c r="G546" s="10"/>
      <c r="H546" s="10"/>
      <c r="I546" s="10"/>
    </row>
    <row r="547" spans="4:9" x14ac:dyDescent="0.25">
      <c r="D547" s="10"/>
      <c r="E547" s="10"/>
      <c r="F547" s="10"/>
      <c r="G547" s="10"/>
      <c r="H547" s="10"/>
      <c r="I547" s="10"/>
    </row>
    <row r="548" spans="4:9" x14ac:dyDescent="0.25">
      <c r="D548" s="10"/>
      <c r="E548" s="10"/>
      <c r="F548" s="10"/>
      <c r="G548" s="10"/>
      <c r="H548" s="10"/>
      <c r="I548" s="10"/>
    </row>
    <row r="549" spans="4:9" x14ac:dyDescent="0.25">
      <c r="D549" s="10"/>
      <c r="E549" s="10"/>
      <c r="F549" s="10"/>
      <c r="G549" s="10"/>
      <c r="H549" s="10"/>
      <c r="I549" s="10"/>
    </row>
    <row r="550" spans="4:9" x14ac:dyDescent="0.25">
      <c r="D550" s="10"/>
      <c r="E550" s="10"/>
      <c r="F550" s="10"/>
      <c r="G550" s="10"/>
      <c r="H550" s="10"/>
      <c r="I550" s="10"/>
    </row>
    <row r="551" spans="4:9" x14ac:dyDescent="0.25">
      <c r="D551" s="10"/>
      <c r="E551" s="10"/>
      <c r="F551" s="10"/>
      <c r="G551" s="10"/>
      <c r="H551" s="10"/>
      <c r="I551" s="10"/>
    </row>
    <row r="552" spans="4:9" x14ac:dyDescent="0.25">
      <c r="D552" s="10"/>
      <c r="E552" s="10"/>
      <c r="F552" s="10"/>
      <c r="G552" s="10"/>
      <c r="H552" s="10"/>
      <c r="I552" s="10"/>
    </row>
    <row r="553" spans="4:9" x14ac:dyDescent="0.25">
      <c r="D553" s="10"/>
      <c r="E553" s="10"/>
      <c r="F553" s="10"/>
      <c r="G553" s="10"/>
      <c r="H553" s="10"/>
      <c r="I553" s="10"/>
    </row>
    <row r="554" spans="4:9" x14ac:dyDescent="0.25">
      <c r="D554" s="10"/>
      <c r="E554" s="10"/>
      <c r="F554" s="10"/>
      <c r="G554" s="10"/>
      <c r="H554" s="10"/>
      <c r="I554" s="10"/>
    </row>
    <row r="555" spans="4:9" x14ac:dyDescent="0.25">
      <c r="D555" s="10"/>
      <c r="E555" s="10"/>
      <c r="F555" s="10"/>
      <c r="G555" s="10"/>
      <c r="H555" s="10"/>
      <c r="I555" s="10"/>
    </row>
    <row r="556" spans="4:9" x14ac:dyDescent="0.25">
      <c r="D556" s="10"/>
      <c r="E556" s="10"/>
      <c r="F556" s="10"/>
      <c r="G556" s="10"/>
      <c r="H556" s="10"/>
      <c r="I556" s="10"/>
    </row>
    <row r="557" spans="4:9" x14ac:dyDescent="0.25">
      <c r="D557" s="10"/>
      <c r="E557" s="10"/>
      <c r="F557" s="10"/>
      <c r="G557" s="10"/>
      <c r="H557" s="10"/>
      <c r="I557" s="10"/>
    </row>
    <row r="558" spans="4:9" x14ac:dyDescent="0.25">
      <c r="D558" s="10"/>
      <c r="E558" s="10"/>
      <c r="F558" s="10"/>
      <c r="G558" s="10"/>
      <c r="H558" s="10"/>
      <c r="I558" s="10"/>
    </row>
    <row r="559" spans="4:9" x14ac:dyDescent="0.25">
      <c r="D559" s="10"/>
      <c r="E559" s="10"/>
      <c r="F559" s="10"/>
      <c r="G559" s="10"/>
      <c r="H559" s="10"/>
      <c r="I559" s="10"/>
    </row>
    <row r="560" spans="4:9" x14ac:dyDescent="0.25">
      <c r="D560" s="10"/>
      <c r="E560" s="10"/>
      <c r="F560" s="10"/>
      <c r="G560" s="10"/>
      <c r="H560" s="10"/>
      <c r="I560" s="10"/>
    </row>
    <row r="561" spans="4:9" x14ac:dyDescent="0.25">
      <c r="D561" s="10"/>
      <c r="E561" s="10"/>
      <c r="F561" s="10"/>
      <c r="G561" s="10"/>
      <c r="H561" s="10"/>
      <c r="I561" s="10"/>
    </row>
    <row r="562" spans="4:9" x14ac:dyDescent="0.25">
      <c r="D562" s="10"/>
      <c r="E562" s="10"/>
      <c r="F562" s="10"/>
      <c r="G562" s="10"/>
      <c r="H562" s="10"/>
      <c r="I562" s="10"/>
    </row>
    <row r="563" spans="4:9" x14ac:dyDescent="0.25">
      <c r="D563" s="10"/>
      <c r="E563" s="10"/>
      <c r="F563" s="10"/>
      <c r="G563" s="10"/>
      <c r="H563" s="10"/>
      <c r="I563" s="10"/>
    </row>
    <row r="564" spans="4:9" x14ac:dyDescent="0.25">
      <c r="D564" s="10"/>
      <c r="E564" s="10"/>
      <c r="F564" s="10"/>
      <c r="G564" s="10"/>
      <c r="H564" s="10"/>
      <c r="I564" s="10"/>
    </row>
    <row r="565" spans="4:9" x14ac:dyDescent="0.25">
      <c r="D565" s="10"/>
      <c r="E565" s="10"/>
      <c r="F565" s="10"/>
      <c r="G565" s="10"/>
      <c r="H565" s="10"/>
      <c r="I565" s="10"/>
    </row>
    <row r="566" spans="4:9" x14ac:dyDescent="0.25">
      <c r="D566" s="10"/>
      <c r="E566" s="10"/>
      <c r="F566" s="10"/>
      <c r="G566" s="10"/>
      <c r="H566" s="10"/>
      <c r="I566" s="10"/>
    </row>
    <row r="567" spans="4:9" x14ac:dyDescent="0.25">
      <c r="D567" s="10"/>
      <c r="E567" s="10"/>
      <c r="F567" s="10"/>
      <c r="G567" s="10"/>
      <c r="H567" s="10"/>
      <c r="I567" s="10"/>
    </row>
    <row r="568" spans="4:9" x14ac:dyDescent="0.25">
      <c r="D568" s="10"/>
      <c r="E568" s="10"/>
      <c r="F568" s="10"/>
      <c r="G568" s="10"/>
      <c r="H568" s="10"/>
      <c r="I568" s="10"/>
    </row>
    <row r="569" spans="4:9" x14ac:dyDescent="0.25">
      <c r="D569" s="10"/>
      <c r="E569" s="10"/>
      <c r="F569" s="10"/>
      <c r="G569" s="10"/>
      <c r="H569" s="10"/>
      <c r="I569" s="10"/>
    </row>
    <row r="570" spans="4:9" x14ac:dyDescent="0.25">
      <c r="D570" s="10"/>
      <c r="E570" s="10"/>
      <c r="F570" s="10"/>
      <c r="G570" s="10"/>
      <c r="H570" s="10"/>
      <c r="I570" s="10"/>
    </row>
    <row r="571" spans="4:9" x14ac:dyDescent="0.25">
      <c r="D571" s="10"/>
      <c r="E571" s="10"/>
      <c r="F571" s="10"/>
      <c r="G571" s="10"/>
      <c r="H571" s="10"/>
      <c r="I571" s="10"/>
    </row>
    <row r="572" spans="4:9" x14ac:dyDescent="0.25">
      <c r="D572" s="10"/>
      <c r="E572" s="10"/>
      <c r="F572" s="10"/>
      <c r="G572" s="10"/>
      <c r="H572" s="10"/>
      <c r="I572" s="10"/>
    </row>
    <row r="573" spans="4:9" x14ac:dyDescent="0.25">
      <c r="D573" s="10"/>
      <c r="E573" s="10"/>
      <c r="F573" s="10"/>
      <c r="G573" s="10"/>
      <c r="H573" s="10"/>
      <c r="I573" s="10"/>
    </row>
    <row r="574" spans="4:9" x14ac:dyDescent="0.25">
      <c r="D574" s="10"/>
      <c r="E574" s="10"/>
      <c r="F574" s="10"/>
      <c r="G574" s="10"/>
      <c r="H574" s="10"/>
      <c r="I574" s="10"/>
    </row>
    <row r="575" spans="4:9" x14ac:dyDescent="0.25">
      <c r="D575" s="10"/>
      <c r="E575" s="10"/>
      <c r="F575" s="10"/>
      <c r="G575" s="10"/>
      <c r="H575" s="10"/>
      <c r="I575" s="10"/>
    </row>
    <row r="576" spans="4:9" x14ac:dyDescent="0.25">
      <c r="D576" s="10"/>
      <c r="E576" s="10"/>
      <c r="F576" s="10"/>
      <c r="G576" s="10"/>
      <c r="H576" s="10"/>
      <c r="I576" s="10"/>
    </row>
    <row r="577" spans="4:9" x14ac:dyDescent="0.25">
      <c r="D577" s="10"/>
      <c r="E577" s="10"/>
      <c r="F577" s="10"/>
      <c r="G577" s="10"/>
      <c r="H577" s="10"/>
      <c r="I577" s="10"/>
    </row>
    <row r="578" spans="4:9" x14ac:dyDescent="0.25">
      <c r="D578" s="10"/>
      <c r="E578" s="10"/>
      <c r="F578" s="10"/>
      <c r="G578" s="10"/>
      <c r="H578" s="10"/>
      <c r="I578" s="10"/>
    </row>
    <row r="579" spans="4:9" x14ac:dyDescent="0.25">
      <c r="D579" s="10"/>
      <c r="E579" s="10"/>
      <c r="F579" s="10"/>
      <c r="G579" s="10"/>
      <c r="H579" s="10"/>
      <c r="I579" s="10"/>
    </row>
    <row r="580" spans="4:9" x14ac:dyDescent="0.25">
      <c r="D580" s="10"/>
      <c r="E580" s="10"/>
      <c r="F580" s="10"/>
      <c r="G580" s="10"/>
      <c r="H580" s="10"/>
      <c r="I580" s="10"/>
    </row>
    <row r="581" spans="4:9" x14ac:dyDescent="0.25">
      <c r="D581" s="10"/>
      <c r="E581" s="10"/>
      <c r="F581" s="10"/>
      <c r="G581" s="10"/>
      <c r="H581" s="10"/>
      <c r="I581" s="10"/>
    </row>
    <row r="582" spans="4:9" x14ac:dyDescent="0.25">
      <c r="D582" s="10"/>
      <c r="E582" s="10"/>
      <c r="F582" s="10"/>
      <c r="G582" s="10"/>
      <c r="H582" s="10"/>
      <c r="I582" s="10"/>
    </row>
    <row r="583" spans="4:9" x14ac:dyDescent="0.25">
      <c r="D583" s="10"/>
      <c r="E583" s="10"/>
      <c r="F583" s="10"/>
      <c r="G583" s="10"/>
      <c r="H583" s="10"/>
      <c r="I583" s="10"/>
    </row>
    <row r="584" spans="4:9" x14ac:dyDescent="0.25">
      <c r="D584" s="10"/>
      <c r="E584" s="10"/>
      <c r="F584" s="10"/>
      <c r="G584" s="10"/>
      <c r="H584" s="10"/>
      <c r="I584" s="10"/>
    </row>
    <row r="585" spans="4:9" x14ac:dyDescent="0.25">
      <c r="D585" s="10"/>
      <c r="E585" s="10"/>
      <c r="F585" s="10"/>
      <c r="G585" s="10"/>
      <c r="H585" s="10"/>
      <c r="I585" s="10"/>
    </row>
    <row r="586" spans="4:9" x14ac:dyDescent="0.25">
      <c r="D586" s="10"/>
      <c r="E586" s="10"/>
      <c r="F586" s="10"/>
      <c r="G586" s="10"/>
      <c r="H586" s="10"/>
      <c r="I586" s="10"/>
    </row>
    <row r="587" spans="4:9" x14ac:dyDescent="0.25">
      <c r="D587" s="10"/>
      <c r="E587" s="10"/>
      <c r="F587" s="10"/>
      <c r="G587" s="10"/>
      <c r="H587" s="10"/>
      <c r="I587" s="10"/>
    </row>
    <row r="588" spans="4:9" x14ac:dyDescent="0.25">
      <c r="D588" s="10"/>
      <c r="E588" s="10"/>
      <c r="F588" s="10"/>
      <c r="G588" s="10"/>
      <c r="H588" s="10"/>
      <c r="I588" s="10"/>
    </row>
    <row r="589" spans="4:9" x14ac:dyDescent="0.25">
      <c r="D589" s="10"/>
      <c r="E589" s="10"/>
      <c r="F589" s="10"/>
      <c r="G589" s="10"/>
      <c r="H589" s="10"/>
      <c r="I589" s="10"/>
    </row>
    <row r="590" spans="4:9" x14ac:dyDescent="0.25">
      <c r="D590" s="10"/>
      <c r="E590" s="10"/>
      <c r="F590" s="10"/>
      <c r="G590" s="10"/>
      <c r="H590" s="10"/>
      <c r="I590" s="10"/>
    </row>
    <row r="591" spans="4:9" x14ac:dyDescent="0.25">
      <c r="D591" s="10"/>
      <c r="E591" s="10"/>
      <c r="F591" s="10"/>
      <c r="G591" s="10"/>
      <c r="H591" s="10"/>
      <c r="I591" s="10"/>
    </row>
    <row r="592" spans="4:9" x14ac:dyDescent="0.25">
      <c r="D592" s="10"/>
      <c r="E592" s="10"/>
      <c r="F592" s="10"/>
      <c r="G592" s="10"/>
      <c r="H592" s="10"/>
      <c r="I592" s="10"/>
    </row>
    <row r="593" spans="4:9" x14ac:dyDescent="0.25">
      <c r="D593" s="10"/>
      <c r="E593" s="10"/>
      <c r="F593" s="10"/>
      <c r="G593" s="10"/>
      <c r="H593" s="10"/>
      <c r="I593" s="10"/>
    </row>
    <row r="594" spans="4:9" x14ac:dyDescent="0.25">
      <c r="D594" s="10"/>
      <c r="E594" s="10"/>
      <c r="F594" s="10"/>
      <c r="G594" s="10"/>
      <c r="H594" s="10"/>
      <c r="I594" s="10"/>
    </row>
    <row r="595" spans="4:9" x14ac:dyDescent="0.25">
      <c r="D595" s="10"/>
      <c r="E595" s="10"/>
      <c r="F595" s="10"/>
      <c r="G595" s="10"/>
      <c r="H595" s="10"/>
      <c r="I595" s="10"/>
    </row>
    <row r="596" spans="4:9" x14ac:dyDescent="0.25">
      <c r="D596" s="10"/>
      <c r="E596" s="10"/>
      <c r="F596" s="10"/>
      <c r="G596" s="10"/>
      <c r="H596" s="10"/>
      <c r="I596" s="10"/>
    </row>
    <row r="597" spans="4:9" x14ac:dyDescent="0.25">
      <c r="D597" s="10"/>
      <c r="E597" s="10"/>
      <c r="F597" s="10"/>
      <c r="G597" s="10"/>
      <c r="H597" s="10"/>
      <c r="I597" s="10"/>
    </row>
    <row r="598" spans="4:9" x14ac:dyDescent="0.25">
      <c r="D598" s="10"/>
      <c r="E598" s="10"/>
      <c r="F598" s="10"/>
      <c r="G598" s="10"/>
      <c r="H598" s="10"/>
      <c r="I598" s="10"/>
    </row>
    <row r="599" spans="4:9" x14ac:dyDescent="0.25">
      <c r="D599" s="10"/>
      <c r="E599" s="10"/>
      <c r="F599" s="10"/>
      <c r="G599" s="10"/>
      <c r="H599" s="10"/>
      <c r="I599" s="10"/>
    </row>
    <row r="600" spans="4:9" x14ac:dyDescent="0.25">
      <c r="D600" s="10"/>
      <c r="E600" s="10"/>
      <c r="F600" s="10"/>
      <c r="G600" s="10"/>
      <c r="H600" s="10"/>
      <c r="I600" s="10"/>
    </row>
    <row r="601" spans="4:9" x14ac:dyDescent="0.25">
      <c r="D601" s="10"/>
      <c r="E601" s="10"/>
      <c r="F601" s="10"/>
      <c r="G601" s="10"/>
      <c r="H601" s="10"/>
      <c r="I601" s="10"/>
    </row>
    <row r="602" spans="4:9" x14ac:dyDescent="0.25">
      <c r="D602" s="10"/>
      <c r="E602" s="10"/>
      <c r="F602" s="10"/>
      <c r="G602" s="10"/>
      <c r="H602" s="10"/>
      <c r="I602" s="10"/>
    </row>
    <row r="603" spans="4:9" x14ac:dyDescent="0.25">
      <c r="D603" s="10"/>
      <c r="E603" s="10"/>
      <c r="F603" s="10"/>
      <c r="G603" s="10"/>
      <c r="H603" s="10"/>
      <c r="I603" s="10"/>
    </row>
    <row r="604" spans="4:9" x14ac:dyDescent="0.25">
      <c r="D604" s="10"/>
      <c r="E604" s="10"/>
      <c r="F604" s="10"/>
      <c r="G604" s="10"/>
      <c r="H604" s="10"/>
      <c r="I604" s="10"/>
    </row>
    <row r="605" spans="4:9" x14ac:dyDescent="0.25">
      <c r="D605" s="10"/>
      <c r="E605" s="10"/>
      <c r="F605" s="10"/>
      <c r="G605" s="10"/>
      <c r="H605" s="10"/>
      <c r="I605" s="10"/>
    </row>
    <row r="606" spans="4:9" x14ac:dyDescent="0.25">
      <c r="D606" s="10"/>
      <c r="E606" s="10"/>
      <c r="F606" s="10"/>
      <c r="G606" s="10"/>
      <c r="H606" s="10"/>
      <c r="I606" s="10"/>
    </row>
    <row r="607" spans="4:9" x14ac:dyDescent="0.25">
      <c r="D607" s="10"/>
      <c r="E607" s="10"/>
      <c r="F607" s="10"/>
      <c r="G607" s="10"/>
      <c r="H607" s="10"/>
      <c r="I607" s="10"/>
    </row>
    <row r="608" spans="4:9" x14ac:dyDescent="0.25">
      <c r="D608" s="10"/>
      <c r="E608" s="10"/>
      <c r="F608" s="10"/>
      <c r="G608" s="10"/>
      <c r="H608" s="10"/>
      <c r="I608" s="10"/>
    </row>
    <row r="609" spans="4:9" x14ac:dyDescent="0.25">
      <c r="D609" s="10"/>
      <c r="E609" s="10"/>
      <c r="F609" s="10"/>
      <c r="G609" s="10"/>
      <c r="H609" s="10"/>
      <c r="I609" s="10"/>
    </row>
    <row r="610" spans="4:9" x14ac:dyDescent="0.25">
      <c r="D610" s="10"/>
      <c r="E610" s="10"/>
      <c r="F610" s="10"/>
      <c r="G610" s="10"/>
      <c r="H610" s="10"/>
      <c r="I610" s="10"/>
    </row>
    <row r="611" spans="4:9" x14ac:dyDescent="0.25">
      <c r="D611" s="10"/>
      <c r="E611" s="10"/>
      <c r="F611" s="10"/>
      <c r="G611" s="10"/>
      <c r="H611" s="10"/>
      <c r="I611" s="10"/>
    </row>
    <row r="612" spans="4:9" x14ac:dyDescent="0.25">
      <c r="D612" s="10"/>
      <c r="E612" s="10"/>
      <c r="F612" s="10"/>
      <c r="G612" s="10"/>
      <c r="H612" s="10"/>
      <c r="I612" s="10"/>
    </row>
    <row r="613" spans="4:9" x14ac:dyDescent="0.25">
      <c r="D613" s="10"/>
      <c r="E613" s="10"/>
      <c r="F613" s="10"/>
      <c r="G613" s="10"/>
      <c r="H613" s="10"/>
      <c r="I613" s="10"/>
    </row>
    <row r="614" spans="4:9" x14ac:dyDescent="0.25">
      <c r="D614" s="10"/>
      <c r="E614" s="10"/>
      <c r="F614" s="10"/>
      <c r="G614" s="10"/>
      <c r="H614" s="10"/>
      <c r="I614" s="10"/>
    </row>
    <row r="615" spans="4:9" x14ac:dyDescent="0.25">
      <c r="D615" s="10"/>
      <c r="E615" s="10"/>
      <c r="F615" s="10"/>
      <c r="G615" s="10"/>
      <c r="H615" s="10"/>
      <c r="I615" s="10"/>
    </row>
    <row r="616" spans="4:9" x14ac:dyDescent="0.25">
      <c r="D616" s="10"/>
      <c r="E616" s="10"/>
      <c r="F616" s="10"/>
      <c r="G616" s="10"/>
      <c r="H616" s="10"/>
      <c r="I616" s="10"/>
    </row>
    <row r="617" spans="4:9" x14ac:dyDescent="0.25">
      <c r="D617" s="10"/>
      <c r="E617" s="10"/>
      <c r="F617" s="10"/>
      <c r="G617" s="10"/>
      <c r="H617" s="10"/>
      <c r="I617" s="10"/>
    </row>
    <row r="618" spans="4:9" x14ac:dyDescent="0.25">
      <c r="D618" s="10"/>
      <c r="E618" s="10"/>
      <c r="F618" s="10"/>
      <c r="G618" s="10"/>
      <c r="H618" s="10"/>
      <c r="I618" s="10"/>
    </row>
    <row r="619" spans="4:9" x14ac:dyDescent="0.25">
      <c r="D619" s="10"/>
      <c r="E619" s="10"/>
      <c r="F619" s="10"/>
      <c r="G619" s="10"/>
      <c r="H619" s="10"/>
      <c r="I619" s="10"/>
    </row>
    <row r="620" spans="4:9" x14ac:dyDescent="0.25">
      <c r="D620" s="10"/>
      <c r="E620" s="10"/>
      <c r="F620" s="10"/>
      <c r="G620" s="10"/>
      <c r="H620" s="10"/>
      <c r="I620" s="10"/>
    </row>
    <row r="621" spans="4:9" x14ac:dyDescent="0.25">
      <c r="D621" s="10"/>
      <c r="E621" s="10"/>
      <c r="F621" s="10"/>
      <c r="G621" s="10"/>
      <c r="H621" s="10"/>
      <c r="I621" s="10"/>
    </row>
    <row r="622" spans="4:9" x14ac:dyDescent="0.25">
      <c r="D622" s="10"/>
      <c r="E622" s="10"/>
      <c r="F622" s="10"/>
      <c r="G622" s="10"/>
      <c r="H622" s="10"/>
      <c r="I622" s="10"/>
    </row>
    <row r="623" spans="4:9" x14ac:dyDescent="0.25">
      <c r="D623" s="10"/>
      <c r="E623" s="10"/>
      <c r="F623" s="10"/>
      <c r="G623" s="10"/>
      <c r="H623" s="10"/>
      <c r="I623" s="10"/>
    </row>
    <row r="624" spans="4:9" x14ac:dyDescent="0.25">
      <c r="D624" s="10"/>
      <c r="E624" s="10"/>
      <c r="F624" s="10"/>
      <c r="G624" s="10"/>
      <c r="H624" s="10"/>
      <c r="I624" s="10"/>
    </row>
    <row r="625" spans="4:9" x14ac:dyDescent="0.25">
      <c r="D625" s="10"/>
      <c r="E625" s="10"/>
      <c r="F625" s="10"/>
      <c r="G625" s="10"/>
      <c r="H625" s="10"/>
      <c r="I625" s="10"/>
    </row>
    <row r="626" spans="4:9" x14ac:dyDescent="0.25">
      <c r="D626" s="10"/>
      <c r="E626" s="10"/>
      <c r="F626" s="10"/>
      <c r="G626" s="10"/>
      <c r="H626" s="10"/>
      <c r="I626" s="10"/>
    </row>
    <row r="627" spans="4:9" x14ac:dyDescent="0.25">
      <c r="D627" s="10"/>
      <c r="E627" s="10"/>
      <c r="F627" s="10"/>
      <c r="G627" s="10"/>
      <c r="H627" s="10"/>
      <c r="I627" s="10"/>
    </row>
    <row r="628" spans="4:9" x14ac:dyDescent="0.25">
      <c r="D628" s="10"/>
      <c r="E628" s="10"/>
      <c r="F628" s="10"/>
      <c r="G628" s="10"/>
      <c r="H628" s="10"/>
      <c r="I628" s="10"/>
    </row>
    <row r="629" spans="4:9" x14ac:dyDescent="0.25">
      <c r="D629" s="10"/>
      <c r="E629" s="10"/>
      <c r="F629" s="10"/>
      <c r="G629" s="10"/>
      <c r="H629" s="10"/>
      <c r="I629" s="10"/>
    </row>
    <row r="630" spans="4:9" x14ac:dyDescent="0.25">
      <c r="D630" s="10"/>
      <c r="E630" s="10"/>
      <c r="F630" s="10"/>
      <c r="G630" s="10"/>
      <c r="H630" s="10"/>
      <c r="I630" s="10"/>
    </row>
    <row r="631" spans="4:9" x14ac:dyDescent="0.25">
      <c r="D631" s="10"/>
      <c r="E631" s="10"/>
      <c r="F631" s="10"/>
      <c r="G631" s="10"/>
      <c r="H631" s="10"/>
      <c r="I631" s="10"/>
    </row>
    <row r="632" spans="4:9" x14ac:dyDescent="0.25">
      <c r="D632" s="10"/>
      <c r="E632" s="10"/>
      <c r="F632" s="10"/>
      <c r="G632" s="10"/>
      <c r="H632" s="10"/>
      <c r="I632" s="10"/>
    </row>
    <row r="633" spans="4:9" x14ac:dyDescent="0.25">
      <c r="D633" s="10"/>
      <c r="E633" s="10"/>
      <c r="F633" s="10"/>
      <c r="G633" s="10"/>
      <c r="H633" s="10"/>
      <c r="I633" s="10"/>
    </row>
    <row r="634" spans="4:9" x14ac:dyDescent="0.25">
      <c r="D634" s="10"/>
      <c r="E634" s="10"/>
      <c r="F634" s="10"/>
      <c r="G634" s="10"/>
      <c r="H634" s="10"/>
      <c r="I634" s="10"/>
    </row>
    <row r="635" spans="4:9" x14ac:dyDescent="0.25">
      <c r="D635" s="10"/>
      <c r="E635" s="10"/>
      <c r="F635" s="10"/>
      <c r="G635" s="10"/>
      <c r="H635" s="10"/>
      <c r="I635" s="10"/>
    </row>
    <row r="636" spans="4:9" x14ac:dyDescent="0.25">
      <c r="D636" s="10"/>
      <c r="E636" s="10"/>
      <c r="F636" s="10"/>
      <c r="G636" s="10"/>
      <c r="H636" s="10"/>
      <c r="I636" s="10"/>
    </row>
    <row r="637" spans="4:9" x14ac:dyDescent="0.25">
      <c r="D637" s="10"/>
      <c r="E637" s="10"/>
      <c r="F637" s="10"/>
      <c r="G637" s="10"/>
      <c r="H637" s="10"/>
      <c r="I637" s="10"/>
    </row>
    <row r="638" spans="4:9" x14ac:dyDescent="0.25">
      <c r="D638" s="10"/>
      <c r="E638" s="10"/>
      <c r="F638" s="10"/>
      <c r="G638" s="10"/>
      <c r="H638" s="10"/>
      <c r="I638" s="10"/>
    </row>
    <row r="639" spans="4:9" x14ac:dyDescent="0.25">
      <c r="D639" s="10"/>
      <c r="E639" s="10"/>
      <c r="F639" s="10"/>
      <c r="G639" s="10"/>
      <c r="H639" s="10"/>
      <c r="I639" s="10"/>
    </row>
    <row r="640" spans="4:9" x14ac:dyDescent="0.25">
      <c r="D640" s="10"/>
      <c r="E640" s="10"/>
      <c r="F640" s="10"/>
      <c r="G640" s="10"/>
      <c r="H640" s="10"/>
      <c r="I640" s="10"/>
    </row>
    <row r="641" spans="4:9" x14ac:dyDescent="0.25">
      <c r="D641" s="10"/>
      <c r="E641" s="10"/>
      <c r="F641" s="10"/>
      <c r="G641" s="10"/>
      <c r="H641" s="10"/>
      <c r="I641" s="10"/>
    </row>
    <row r="642" spans="4:9" x14ac:dyDescent="0.25">
      <c r="D642" s="10"/>
      <c r="E642" s="10"/>
      <c r="F642" s="10"/>
      <c r="G642" s="10"/>
      <c r="H642" s="10"/>
      <c r="I642" s="10"/>
    </row>
    <row r="643" spans="4:9" x14ac:dyDescent="0.25">
      <c r="D643" s="10"/>
      <c r="E643" s="10"/>
      <c r="F643" s="10"/>
      <c r="G643" s="10"/>
      <c r="H643" s="10"/>
      <c r="I643" s="10"/>
    </row>
    <row r="644" spans="4:9" x14ac:dyDescent="0.25">
      <c r="D644" s="10"/>
      <c r="E644" s="10"/>
      <c r="F644" s="10"/>
      <c r="G644" s="10"/>
      <c r="H644" s="10"/>
      <c r="I644" s="10"/>
    </row>
    <row r="645" spans="4:9" x14ac:dyDescent="0.25">
      <c r="D645" s="10"/>
      <c r="E645" s="10"/>
      <c r="F645" s="10"/>
      <c r="G645" s="10"/>
      <c r="H645" s="10"/>
      <c r="I645" s="10"/>
    </row>
    <row r="646" spans="4:9" x14ac:dyDescent="0.25">
      <c r="D646" s="10"/>
      <c r="E646" s="10"/>
      <c r="F646" s="10"/>
      <c r="G646" s="10"/>
      <c r="H646" s="10"/>
      <c r="I646" s="10"/>
    </row>
    <row r="647" spans="4:9" x14ac:dyDescent="0.25">
      <c r="D647" s="10"/>
      <c r="E647" s="10"/>
      <c r="F647" s="10"/>
      <c r="G647" s="10"/>
      <c r="H647" s="10"/>
      <c r="I647" s="10"/>
    </row>
    <row r="648" spans="4:9" x14ac:dyDescent="0.25">
      <c r="D648" s="10"/>
      <c r="E648" s="10"/>
      <c r="F648" s="10"/>
      <c r="G648" s="10"/>
      <c r="H648" s="10"/>
      <c r="I648" s="10"/>
    </row>
    <row r="649" spans="4:9" x14ac:dyDescent="0.25">
      <c r="D649" s="10"/>
      <c r="E649" s="10"/>
      <c r="F649" s="10"/>
      <c r="G649" s="10"/>
      <c r="H649" s="10"/>
      <c r="I649" s="10"/>
    </row>
    <row r="650" spans="4:9" x14ac:dyDescent="0.25">
      <c r="D650" s="10"/>
      <c r="E650" s="10"/>
      <c r="F650" s="10"/>
      <c r="G650" s="10"/>
      <c r="H650" s="10"/>
      <c r="I650" s="10"/>
    </row>
    <row r="651" spans="4:9" x14ac:dyDescent="0.25">
      <c r="D651" s="10"/>
      <c r="E651" s="10"/>
      <c r="F651" s="10"/>
      <c r="G651" s="10"/>
      <c r="H651" s="10"/>
      <c r="I651" s="10"/>
    </row>
    <row r="652" spans="4:9" x14ac:dyDescent="0.25">
      <c r="D652" s="10"/>
      <c r="E652" s="10"/>
      <c r="F652" s="10"/>
      <c r="G652" s="10"/>
      <c r="H652" s="10"/>
      <c r="I652" s="10"/>
    </row>
    <row r="653" spans="4:9" x14ac:dyDescent="0.25">
      <c r="D653" s="10"/>
      <c r="E653" s="10"/>
      <c r="F653" s="10"/>
      <c r="G653" s="10"/>
      <c r="H653" s="10"/>
      <c r="I653" s="10"/>
    </row>
    <row r="654" spans="4:9" x14ac:dyDescent="0.25">
      <c r="D654" s="10"/>
      <c r="E654" s="10"/>
      <c r="F654" s="10"/>
      <c r="G654" s="10"/>
      <c r="H654" s="10"/>
      <c r="I654" s="10"/>
    </row>
    <row r="655" spans="4:9" x14ac:dyDescent="0.25">
      <c r="D655" s="10"/>
      <c r="E655" s="10"/>
      <c r="F655" s="10"/>
      <c r="G655" s="10"/>
      <c r="H655" s="10"/>
      <c r="I655" s="10"/>
    </row>
    <row r="656" spans="4:9" x14ac:dyDescent="0.25">
      <c r="D656" s="10"/>
      <c r="E656" s="10"/>
      <c r="F656" s="10"/>
      <c r="G656" s="10"/>
      <c r="H656" s="10"/>
      <c r="I656" s="10"/>
    </row>
    <row r="657" spans="4:9" x14ac:dyDescent="0.25">
      <c r="D657" s="10"/>
      <c r="E657" s="10"/>
      <c r="F657" s="10"/>
      <c r="G657" s="10"/>
      <c r="H657" s="10"/>
      <c r="I657" s="10"/>
    </row>
    <row r="658" spans="4:9" x14ac:dyDescent="0.25">
      <c r="D658" s="10"/>
      <c r="E658" s="10"/>
      <c r="F658" s="10"/>
      <c r="G658" s="10"/>
      <c r="H658" s="10"/>
      <c r="I658" s="10"/>
    </row>
    <row r="659" spans="4:9" x14ac:dyDescent="0.25">
      <c r="D659" s="10"/>
      <c r="E659" s="10"/>
      <c r="F659" s="10"/>
      <c r="G659" s="10"/>
      <c r="H659" s="10"/>
      <c r="I659" s="10"/>
    </row>
    <row r="660" spans="4:9" x14ac:dyDescent="0.25">
      <c r="D660" s="10"/>
      <c r="E660" s="10"/>
      <c r="F660" s="10"/>
      <c r="G660" s="10"/>
      <c r="H660" s="10"/>
      <c r="I660" s="10"/>
    </row>
    <row r="661" spans="4:9" x14ac:dyDescent="0.25">
      <c r="D661" s="10"/>
      <c r="E661" s="10"/>
      <c r="F661" s="10"/>
      <c r="G661" s="10"/>
      <c r="H661" s="10"/>
      <c r="I661" s="10"/>
    </row>
    <row r="662" spans="4:9" x14ac:dyDescent="0.25">
      <c r="D662" s="10"/>
      <c r="E662" s="10"/>
      <c r="F662" s="10"/>
      <c r="G662" s="10"/>
      <c r="H662" s="10"/>
      <c r="I662" s="10"/>
    </row>
    <row r="663" spans="4:9" x14ac:dyDescent="0.25">
      <c r="D663" s="10"/>
      <c r="E663" s="10"/>
      <c r="F663" s="10"/>
      <c r="G663" s="10"/>
      <c r="H663" s="10"/>
      <c r="I663" s="10"/>
    </row>
    <row r="664" spans="4:9" x14ac:dyDescent="0.25">
      <c r="D664" s="10"/>
      <c r="E664" s="10"/>
      <c r="F664" s="10"/>
      <c r="G664" s="10"/>
      <c r="H664" s="10"/>
      <c r="I664" s="10"/>
    </row>
    <row r="665" spans="4:9" x14ac:dyDescent="0.25">
      <c r="D665" s="10"/>
      <c r="E665" s="10"/>
      <c r="F665" s="10"/>
      <c r="G665" s="10"/>
      <c r="H665" s="10"/>
      <c r="I665" s="10"/>
    </row>
    <row r="666" spans="4:9" x14ac:dyDescent="0.25">
      <c r="D666" s="10"/>
      <c r="E666" s="10"/>
      <c r="F666" s="10"/>
      <c r="G666" s="10"/>
      <c r="H666" s="10"/>
      <c r="I666" s="10"/>
    </row>
    <row r="667" spans="4:9" x14ac:dyDescent="0.25">
      <c r="D667" s="10"/>
      <c r="E667" s="10"/>
      <c r="F667" s="10"/>
      <c r="G667" s="10"/>
      <c r="H667" s="10"/>
      <c r="I667" s="10"/>
    </row>
    <row r="668" spans="4:9" x14ac:dyDescent="0.25">
      <c r="D668" s="10"/>
      <c r="E668" s="10"/>
      <c r="F668" s="10"/>
      <c r="G668" s="10"/>
      <c r="H668" s="10"/>
      <c r="I668" s="10"/>
    </row>
    <row r="669" spans="4:9" x14ac:dyDescent="0.25">
      <c r="D669" s="10"/>
      <c r="E669" s="10"/>
      <c r="F669" s="10"/>
      <c r="G669" s="10"/>
      <c r="H669" s="10"/>
      <c r="I669" s="10"/>
    </row>
    <row r="670" spans="4:9" x14ac:dyDescent="0.25">
      <c r="D670" s="10"/>
      <c r="E670" s="10"/>
      <c r="F670" s="10"/>
      <c r="G670" s="10"/>
      <c r="H670" s="10"/>
      <c r="I670" s="10"/>
    </row>
    <row r="671" spans="4:9" x14ac:dyDescent="0.25">
      <c r="D671" s="10"/>
      <c r="E671" s="10"/>
      <c r="F671" s="10"/>
      <c r="G671" s="10"/>
      <c r="H671" s="10"/>
      <c r="I671" s="10"/>
    </row>
    <row r="672" spans="4:9" x14ac:dyDescent="0.25">
      <c r="D672" s="10"/>
      <c r="E672" s="10"/>
      <c r="F672" s="10"/>
      <c r="G672" s="10"/>
      <c r="H672" s="10"/>
      <c r="I672" s="10"/>
    </row>
    <row r="673" spans="4:9" x14ac:dyDescent="0.25">
      <c r="D673" s="10"/>
      <c r="E673" s="10"/>
      <c r="F673" s="10"/>
      <c r="G673" s="10"/>
      <c r="H673" s="10"/>
      <c r="I673" s="10"/>
    </row>
    <row r="674" spans="4:9" x14ac:dyDescent="0.25">
      <c r="D674" s="10"/>
      <c r="E674" s="10"/>
      <c r="F674" s="10"/>
      <c r="G674" s="10"/>
      <c r="H674" s="10"/>
      <c r="I674" s="10"/>
    </row>
    <row r="675" spans="4:9" x14ac:dyDescent="0.25">
      <c r="D675" s="10"/>
      <c r="E675" s="10"/>
      <c r="F675" s="10"/>
      <c r="G675" s="10"/>
      <c r="H675" s="10"/>
      <c r="I675" s="10"/>
    </row>
    <row r="676" spans="4:9" x14ac:dyDescent="0.25">
      <c r="D676" s="10"/>
      <c r="E676" s="10"/>
      <c r="F676" s="10"/>
      <c r="G676" s="10"/>
      <c r="H676" s="10"/>
      <c r="I676" s="10"/>
    </row>
    <row r="677" spans="4:9" x14ac:dyDescent="0.25">
      <c r="D677" s="10"/>
      <c r="E677" s="10"/>
      <c r="F677" s="10"/>
      <c r="G677" s="10"/>
      <c r="H677" s="10"/>
      <c r="I677" s="10"/>
    </row>
    <row r="678" spans="4:9" x14ac:dyDescent="0.25">
      <c r="D678" s="10"/>
      <c r="E678" s="10"/>
      <c r="F678" s="10"/>
      <c r="G678" s="10"/>
      <c r="H678" s="10"/>
      <c r="I678" s="10"/>
    </row>
    <row r="679" spans="4:9" x14ac:dyDescent="0.25">
      <c r="D679" s="10"/>
      <c r="E679" s="10"/>
      <c r="F679" s="10"/>
      <c r="G679" s="10"/>
      <c r="H679" s="10"/>
      <c r="I679" s="10"/>
    </row>
    <row r="680" spans="4:9" x14ac:dyDescent="0.25">
      <c r="D680" s="10"/>
      <c r="E680" s="10"/>
      <c r="F680" s="10"/>
      <c r="G680" s="10"/>
      <c r="H680" s="10"/>
      <c r="I680" s="10"/>
    </row>
    <row r="681" spans="4:9" x14ac:dyDescent="0.25">
      <c r="D681" s="10"/>
      <c r="E681" s="10"/>
      <c r="F681" s="10"/>
      <c r="G681" s="10"/>
      <c r="H681" s="10"/>
      <c r="I681" s="10"/>
    </row>
    <row r="682" spans="4:9" x14ac:dyDescent="0.25">
      <c r="D682" s="10"/>
      <c r="E682" s="10"/>
      <c r="F682" s="10"/>
      <c r="G682" s="10"/>
      <c r="H682" s="10"/>
      <c r="I682" s="10"/>
    </row>
    <row r="683" spans="4:9" x14ac:dyDescent="0.25">
      <c r="D683" s="10"/>
      <c r="E683" s="10"/>
      <c r="F683" s="10"/>
      <c r="G683" s="10"/>
      <c r="H683" s="10"/>
      <c r="I683" s="10"/>
    </row>
    <row r="684" spans="4:9" x14ac:dyDescent="0.25">
      <c r="D684" s="10"/>
      <c r="E684" s="10"/>
      <c r="F684" s="10"/>
      <c r="G684" s="10"/>
      <c r="H684" s="10"/>
      <c r="I684" s="10"/>
    </row>
    <row r="685" spans="4:9" x14ac:dyDescent="0.25">
      <c r="D685" s="10"/>
      <c r="E685" s="10"/>
      <c r="F685" s="10"/>
      <c r="G685" s="10"/>
      <c r="H685" s="10"/>
      <c r="I685" s="10"/>
    </row>
    <row r="686" spans="4:9" x14ac:dyDescent="0.25">
      <c r="D686" s="10"/>
      <c r="E686" s="10"/>
      <c r="F686" s="10"/>
      <c r="G686" s="10"/>
      <c r="H686" s="10"/>
      <c r="I686" s="10"/>
    </row>
    <row r="687" spans="4:9" x14ac:dyDescent="0.25">
      <c r="D687" s="10"/>
      <c r="E687" s="10"/>
      <c r="F687" s="10"/>
      <c r="G687" s="10"/>
      <c r="H687" s="10"/>
      <c r="I687" s="10"/>
    </row>
    <row r="688" spans="4:9" x14ac:dyDescent="0.25">
      <c r="D688" s="10"/>
      <c r="E688" s="10"/>
      <c r="F688" s="10"/>
      <c r="G688" s="10"/>
      <c r="H688" s="10"/>
      <c r="I688" s="10"/>
    </row>
    <row r="689" spans="4:9" x14ac:dyDescent="0.25">
      <c r="D689" s="10"/>
      <c r="E689" s="10"/>
      <c r="F689" s="10"/>
      <c r="G689" s="10"/>
      <c r="H689" s="10"/>
      <c r="I689" s="10"/>
    </row>
    <row r="690" spans="4:9" x14ac:dyDescent="0.25">
      <c r="D690" s="10"/>
      <c r="E690" s="10"/>
      <c r="F690" s="10"/>
      <c r="G690" s="10"/>
      <c r="H690" s="10"/>
      <c r="I690" s="10"/>
    </row>
    <row r="691" spans="4:9" x14ac:dyDescent="0.25">
      <c r="D691" s="10"/>
      <c r="E691" s="10"/>
      <c r="F691" s="10"/>
      <c r="G691" s="10"/>
      <c r="H691" s="10"/>
      <c r="I691" s="10"/>
    </row>
    <row r="692" spans="4:9" x14ac:dyDescent="0.25">
      <c r="D692" s="10"/>
      <c r="E692" s="10"/>
      <c r="F692" s="10"/>
      <c r="G692" s="10"/>
      <c r="H692" s="10"/>
      <c r="I692" s="10"/>
    </row>
    <row r="693" spans="4:9" x14ac:dyDescent="0.25">
      <c r="D693" s="10"/>
      <c r="E693" s="10"/>
      <c r="F693" s="10"/>
      <c r="G693" s="10"/>
      <c r="H693" s="10"/>
      <c r="I693" s="10"/>
    </row>
    <row r="694" spans="4:9" x14ac:dyDescent="0.25">
      <c r="D694" s="10"/>
      <c r="E694" s="10"/>
      <c r="F694" s="10"/>
      <c r="G694" s="10"/>
      <c r="H694" s="10"/>
      <c r="I694" s="10"/>
    </row>
    <row r="695" spans="4:9" x14ac:dyDescent="0.25">
      <c r="D695" s="10"/>
      <c r="E695" s="10"/>
      <c r="F695" s="10"/>
      <c r="G695" s="10"/>
      <c r="H695" s="10"/>
      <c r="I695" s="10"/>
    </row>
    <row r="696" spans="4:9" x14ac:dyDescent="0.25">
      <c r="D696" s="10"/>
      <c r="E696" s="10"/>
      <c r="F696" s="10"/>
      <c r="G696" s="10"/>
      <c r="H696" s="10"/>
      <c r="I696" s="10"/>
    </row>
    <row r="697" spans="4:9" x14ac:dyDescent="0.25">
      <c r="D697" s="10"/>
      <c r="E697" s="10"/>
      <c r="F697" s="10"/>
      <c r="G697" s="10"/>
      <c r="H697" s="10"/>
      <c r="I697" s="10"/>
    </row>
    <row r="698" spans="4:9" x14ac:dyDescent="0.25">
      <c r="D698" s="10"/>
      <c r="E698" s="10"/>
      <c r="F698" s="10"/>
      <c r="G698" s="10"/>
      <c r="H698" s="10"/>
      <c r="I698" s="10"/>
    </row>
    <row r="699" spans="4:9" x14ac:dyDescent="0.25">
      <c r="D699" s="10"/>
      <c r="E699" s="10"/>
      <c r="F699" s="10"/>
      <c r="G699" s="10"/>
      <c r="H699" s="10"/>
      <c r="I699" s="10"/>
    </row>
    <row r="700" spans="4:9" x14ac:dyDescent="0.25">
      <c r="D700" s="10"/>
      <c r="E700" s="10"/>
      <c r="F700" s="10"/>
      <c r="G700" s="10"/>
      <c r="H700" s="10"/>
      <c r="I700" s="10"/>
    </row>
    <row r="701" spans="4:9" x14ac:dyDescent="0.25">
      <c r="D701" s="10"/>
      <c r="E701" s="10"/>
      <c r="F701" s="10"/>
      <c r="G701" s="10"/>
      <c r="H701" s="10"/>
      <c r="I701" s="10"/>
    </row>
    <row r="702" spans="4:9" x14ac:dyDescent="0.25">
      <c r="D702" s="10"/>
      <c r="E702" s="10"/>
      <c r="F702" s="10"/>
      <c r="G702" s="10"/>
      <c r="H702" s="10"/>
      <c r="I702" s="10"/>
    </row>
    <row r="703" spans="4:9" x14ac:dyDescent="0.25">
      <c r="D703" s="10"/>
      <c r="E703" s="10"/>
      <c r="F703" s="10"/>
      <c r="G703" s="10"/>
      <c r="H703" s="10"/>
      <c r="I703" s="10"/>
    </row>
    <row r="704" spans="4:9" x14ac:dyDescent="0.25">
      <c r="D704" s="10"/>
      <c r="E704" s="10"/>
      <c r="F704" s="10"/>
      <c r="G704" s="10"/>
      <c r="H704" s="10"/>
      <c r="I704" s="10"/>
    </row>
    <row r="705" spans="4:9" x14ac:dyDescent="0.25">
      <c r="D705" s="10"/>
      <c r="E705" s="10"/>
      <c r="F705" s="10"/>
      <c r="G705" s="10"/>
      <c r="H705" s="10"/>
      <c r="I705" s="10"/>
    </row>
    <row r="706" spans="4:9" x14ac:dyDescent="0.25">
      <c r="D706" s="10"/>
      <c r="E706" s="10"/>
      <c r="F706" s="10"/>
      <c r="G706" s="10"/>
      <c r="H706" s="10"/>
      <c r="I706" s="10"/>
    </row>
    <row r="707" spans="4:9" x14ac:dyDescent="0.25">
      <c r="D707" s="10"/>
      <c r="E707" s="10"/>
      <c r="F707" s="10"/>
      <c r="G707" s="10"/>
      <c r="H707" s="10"/>
      <c r="I707" s="10"/>
    </row>
    <row r="708" spans="4:9" x14ac:dyDescent="0.25">
      <c r="D708" s="10"/>
      <c r="E708" s="10"/>
      <c r="F708" s="10"/>
      <c r="G708" s="10"/>
      <c r="H708" s="10"/>
      <c r="I708" s="10"/>
    </row>
    <row r="709" spans="4:9" x14ac:dyDescent="0.25">
      <c r="D709" s="10"/>
      <c r="E709" s="10"/>
      <c r="F709" s="10"/>
      <c r="G709" s="10"/>
      <c r="H709" s="10"/>
      <c r="I709" s="10"/>
    </row>
    <row r="710" spans="4:9" x14ac:dyDescent="0.25">
      <c r="D710" s="10"/>
      <c r="E710" s="10"/>
      <c r="F710" s="10"/>
      <c r="G710" s="10"/>
      <c r="H710" s="10"/>
      <c r="I710" s="10"/>
    </row>
    <row r="711" spans="4:9" x14ac:dyDescent="0.25">
      <c r="D711" s="10"/>
      <c r="E711" s="10"/>
      <c r="F711" s="10"/>
      <c r="G711" s="10"/>
      <c r="H711" s="10"/>
      <c r="I711" s="10"/>
    </row>
    <row r="712" spans="4:9" x14ac:dyDescent="0.25">
      <c r="D712" s="10"/>
      <c r="E712" s="10"/>
      <c r="F712" s="10"/>
      <c r="G712" s="10"/>
      <c r="H712" s="10"/>
      <c r="I712" s="10"/>
    </row>
    <row r="713" spans="4:9" x14ac:dyDescent="0.25">
      <c r="D713" s="10"/>
      <c r="E713" s="10"/>
      <c r="F713" s="10"/>
      <c r="G713" s="10"/>
      <c r="H713" s="10"/>
      <c r="I713" s="10"/>
    </row>
    <row r="714" spans="4:9" x14ac:dyDescent="0.25">
      <c r="D714" s="10"/>
      <c r="E714" s="10"/>
      <c r="F714" s="10"/>
      <c r="G714" s="10"/>
      <c r="H714" s="10"/>
      <c r="I714" s="10"/>
    </row>
    <row r="715" spans="4:9" x14ac:dyDescent="0.25">
      <c r="D715" s="10"/>
      <c r="E715" s="10"/>
      <c r="F715" s="10"/>
      <c r="G715" s="10"/>
      <c r="H715" s="10"/>
      <c r="I715" s="10"/>
    </row>
    <row r="716" spans="4:9" x14ac:dyDescent="0.25">
      <c r="D716" s="10"/>
      <c r="E716" s="10"/>
      <c r="F716" s="10"/>
      <c r="G716" s="10"/>
      <c r="H716" s="10"/>
      <c r="I716" s="10"/>
    </row>
    <row r="717" spans="4:9" x14ac:dyDescent="0.25">
      <c r="D717" s="10"/>
      <c r="E717" s="10"/>
      <c r="F717" s="10"/>
      <c r="G717" s="10"/>
      <c r="H717" s="10"/>
      <c r="I717" s="10"/>
    </row>
    <row r="718" spans="4:9" x14ac:dyDescent="0.25">
      <c r="D718" s="10"/>
      <c r="E718" s="10"/>
      <c r="F718" s="10"/>
      <c r="G718" s="10"/>
      <c r="H718" s="10"/>
      <c r="I718" s="10"/>
    </row>
    <row r="719" spans="4:9" x14ac:dyDescent="0.25">
      <c r="D719" s="10"/>
      <c r="E719" s="10"/>
      <c r="F719" s="10"/>
      <c r="G719" s="10"/>
      <c r="H719" s="10"/>
      <c r="I719" s="10"/>
    </row>
    <row r="720" spans="4:9" x14ac:dyDescent="0.25">
      <c r="D720" s="10"/>
      <c r="E720" s="10"/>
      <c r="F720" s="10"/>
      <c r="G720" s="10"/>
      <c r="H720" s="10"/>
      <c r="I720" s="10"/>
    </row>
    <row r="721" spans="4:9" x14ac:dyDescent="0.25">
      <c r="D721" s="10"/>
      <c r="E721" s="10"/>
      <c r="F721" s="10"/>
      <c r="G721" s="10"/>
      <c r="H721" s="10"/>
      <c r="I721" s="10"/>
    </row>
    <row r="722" spans="4:9" x14ac:dyDescent="0.25">
      <c r="D722" s="10"/>
      <c r="E722" s="10"/>
      <c r="F722" s="10"/>
      <c r="G722" s="10"/>
      <c r="H722" s="10"/>
      <c r="I722" s="10"/>
    </row>
    <row r="723" spans="4:9" x14ac:dyDescent="0.25">
      <c r="D723" s="10"/>
      <c r="E723" s="10"/>
      <c r="F723" s="10"/>
      <c r="G723" s="10"/>
      <c r="H723" s="10"/>
      <c r="I723" s="10"/>
    </row>
    <row r="724" spans="4:9" x14ac:dyDescent="0.25">
      <c r="D724" s="10"/>
      <c r="E724" s="10"/>
      <c r="F724" s="10"/>
      <c r="G724" s="10"/>
      <c r="H724" s="10"/>
      <c r="I724" s="10"/>
    </row>
    <row r="725" spans="4:9" x14ac:dyDescent="0.25">
      <c r="D725" s="10"/>
      <c r="E725" s="10"/>
      <c r="F725" s="10"/>
      <c r="G725" s="10"/>
      <c r="H725" s="10"/>
      <c r="I725" s="10"/>
    </row>
    <row r="726" spans="4:9" x14ac:dyDescent="0.25">
      <c r="D726" s="10"/>
      <c r="E726" s="10"/>
      <c r="F726" s="10"/>
      <c r="G726" s="10"/>
      <c r="H726" s="10"/>
      <c r="I726" s="10"/>
    </row>
    <row r="727" spans="4:9" x14ac:dyDescent="0.25">
      <c r="D727" s="10"/>
      <c r="E727" s="10"/>
      <c r="F727" s="10"/>
      <c r="G727" s="10"/>
      <c r="H727" s="10"/>
      <c r="I727" s="10"/>
    </row>
    <row r="728" spans="4:9" x14ac:dyDescent="0.25">
      <c r="D728" s="10"/>
      <c r="E728" s="10"/>
      <c r="F728" s="10"/>
      <c r="G728" s="10"/>
      <c r="H728" s="10"/>
      <c r="I728" s="10"/>
    </row>
    <row r="729" spans="4:9" x14ac:dyDescent="0.25">
      <c r="D729" s="10"/>
      <c r="E729" s="10"/>
      <c r="F729" s="10"/>
      <c r="G729" s="10"/>
      <c r="H729" s="10"/>
      <c r="I729" s="10"/>
    </row>
    <row r="730" spans="4:9" x14ac:dyDescent="0.25">
      <c r="D730" s="10"/>
      <c r="E730" s="10"/>
      <c r="F730" s="10"/>
      <c r="G730" s="10"/>
      <c r="H730" s="10"/>
      <c r="I730" s="10"/>
    </row>
    <row r="731" spans="4:9" x14ac:dyDescent="0.25">
      <c r="D731" s="10"/>
      <c r="E731" s="10"/>
      <c r="F731" s="10"/>
      <c r="G731" s="10"/>
      <c r="H731" s="10"/>
      <c r="I731" s="10"/>
    </row>
    <row r="732" spans="4:9" x14ac:dyDescent="0.25">
      <c r="D732" s="10"/>
      <c r="E732" s="10"/>
      <c r="F732" s="10"/>
      <c r="G732" s="10"/>
      <c r="H732" s="10"/>
      <c r="I732" s="10"/>
    </row>
    <row r="733" spans="4:9" x14ac:dyDescent="0.25">
      <c r="D733" s="10"/>
      <c r="E733" s="10"/>
      <c r="F733" s="10"/>
      <c r="G733" s="10"/>
      <c r="H733" s="10"/>
      <c r="I733" s="10"/>
    </row>
    <row r="734" spans="4:9" x14ac:dyDescent="0.25">
      <c r="D734" s="10"/>
      <c r="E734" s="10"/>
      <c r="F734" s="10"/>
      <c r="G734" s="10"/>
      <c r="H734" s="10"/>
      <c r="I734" s="10"/>
    </row>
    <row r="735" spans="4:9" x14ac:dyDescent="0.25">
      <c r="D735" s="10"/>
      <c r="E735" s="10"/>
      <c r="F735" s="10"/>
      <c r="G735" s="10"/>
      <c r="H735" s="10"/>
      <c r="I735" s="10"/>
    </row>
    <row r="736" spans="4:9" x14ac:dyDescent="0.25">
      <c r="D736" s="10"/>
      <c r="E736" s="10"/>
      <c r="F736" s="10"/>
      <c r="G736" s="10"/>
      <c r="H736" s="10"/>
      <c r="I736" s="10"/>
    </row>
    <row r="737" spans="4:9" x14ac:dyDescent="0.25">
      <c r="D737" s="10"/>
      <c r="E737" s="10"/>
      <c r="F737" s="10"/>
      <c r="G737" s="10"/>
      <c r="H737" s="10"/>
      <c r="I737" s="10"/>
    </row>
    <row r="738" spans="4:9" x14ac:dyDescent="0.25">
      <c r="D738" s="10"/>
      <c r="E738" s="10"/>
      <c r="F738" s="10"/>
      <c r="G738" s="10"/>
      <c r="H738" s="10"/>
      <c r="I738" s="10"/>
    </row>
    <row r="739" spans="4:9" x14ac:dyDescent="0.25">
      <c r="D739" s="10"/>
      <c r="E739" s="10"/>
      <c r="F739" s="10"/>
      <c r="G739" s="10"/>
      <c r="H739" s="10"/>
      <c r="I739" s="10"/>
    </row>
    <row r="740" spans="4:9" x14ac:dyDescent="0.25">
      <c r="D740" s="10"/>
      <c r="E740" s="10"/>
      <c r="F740" s="10"/>
      <c r="G740" s="10"/>
      <c r="H740" s="10"/>
      <c r="I740" s="10"/>
    </row>
    <row r="741" spans="4:9" x14ac:dyDescent="0.25">
      <c r="D741" s="10"/>
      <c r="E741" s="10"/>
      <c r="F741" s="10"/>
      <c r="G741" s="10"/>
      <c r="H741" s="10"/>
      <c r="I741" s="10"/>
    </row>
    <row r="742" spans="4:9" x14ac:dyDescent="0.25">
      <c r="D742" s="10"/>
      <c r="E742" s="10"/>
      <c r="F742" s="10"/>
      <c r="G742" s="10"/>
      <c r="H742" s="10"/>
      <c r="I742" s="10"/>
    </row>
    <row r="743" spans="4:9" x14ac:dyDescent="0.25">
      <c r="D743" s="10"/>
      <c r="E743" s="10"/>
      <c r="F743" s="10"/>
      <c r="G743" s="10"/>
      <c r="H743" s="10"/>
      <c r="I743" s="10"/>
    </row>
    <row r="744" spans="4:9" x14ac:dyDescent="0.25">
      <c r="D744" s="10"/>
      <c r="E744" s="10"/>
      <c r="F744" s="10"/>
      <c r="G744" s="10"/>
      <c r="H744" s="10"/>
      <c r="I744" s="10"/>
    </row>
    <row r="745" spans="4:9" x14ac:dyDescent="0.25">
      <c r="D745" s="10"/>
      <c r="E745" s="10"/>
      <c r="F745" s="10"/>
      <c r="G745" s="10"/>
      <c r="H745" s="10"/>
      <c r="I745" s="10"/>
    </row>
    <row r="746" spans="4:9" x14ac:dyDescent="0.25">
      <c r="D746" s="10"/>
      <c r="E746" s="10"/>
      <c r="F746" s="10"/>
      <c r="G746" s="10"/>
      <c r="H746" s="10"/>
      <c r="I746" s="10"/>
    </row>
    <row r="747" spans="4:9" x14ac:dyDescent="0.25">
      <c r="D747" s="10"/>
      <c r="E747" s="10"/>
      <c r="F747" s="10"/>
      <c r="G747" s="10"/>
      <c r="H747" s="10"/>
      <c r="I747" s="10"/>
    </row>
    <row r="748" spans="4:9" x14ac:dyDescent="0.25">
      <c r="D748" s="10"/>
      <c r="E748" s="10"/>
      <c r="F748" s="10"/>
      <c r="G748" s="10"/>
      <c r="H748" s="10"/>
      <c r="I748" s="10"/>
    </row>
    <row r="749" spans="4:9" x14ac:dyDescent="0.25">
      <c r="D749" s="10"/>
      <c r="E749" s="10"/>
      <c r="F749" s="10"/>
      <c r="G749" s="10"/>
      <c r="H749" s="10"/>
      <c r="I749" s="10"/>
    </row>
    <row r="750" spans="4:9" x14ac:dyDescent="0.25">
      <c r="D750" s="10"/>
      <c r="E750" s="10"/>
      <c r="F750" s="10"/>
      <c r="G750" s="10"/>
      <c r="H750" s="10"/>
      <c r="I750" s="10"/>
    </row>
    <row r="751" spans="4:9" x14ac:dyDescent="0.25">
      <c r="D751" s="10"/>
      <c r="E751" s="10"/>
      <c r="F751" s="10"/>
      <c r="G751" s="10"/>
      <c r="H751" s="10"/>
      <c r="I751" s="10"/>
    </row>
    <row r="752" spans="4:9" x14ac:dyDescent="0.25">
      <c r="D752" s="10"/>
      <c r="E752" s="10"/>
      <c r="F752" s="10"/>
      <c r="G752" s="10"/>
      <c r="H752" s="10"/>
      <c r="I752" s="10"/>
    </row>
    <row r="753" spans="4:9" x14ac:dyDescent="0.25">
      <c r="D753" s="10"/>
      <c r="E753" s="10"/>
      <c r="F753" s="10"/>
      <c r="G753" s="10"/>
      <c r="H753" s="10"/>
      <c r="I753" s="10"/>
    </row>
    <row r="754" spans="4:9" x14ac:dyDescent="0.25">
      <c r="D754" s="10"/>
      <c r="E754" s="10"/>
      <c r="F754" s="10"/>
      <c r="G754" s="10"/>
      <c r="H754" s="10"/>
      <c r="I754" s="10"/>
    </row>
    <row r="755" spans="4:9" x14ac:dyDescent="0.25">
      <c r="D755" s="10"/>
      <c r="E755" s="10"/>
      <c r="F755" s="10"/>
      <c r="G755" s="10"/>
      <c r="H755" s="10"/>
      <c r="I755" s="10"/>
    </row>
    <row r="756" spans="4:9" x14ac:dyDescent="0.25">
      <c r="D756" s="10"/>
      <c r="E756" s="10"/>
      <c r="F756" s="10"/>
      <c r="G756" s="10"/>
      <c r="H756" s="10"/>
      <c r="I756" s="10"/>
    </row>
    <row r="757" spans="4:9" x14ac:dyDescent="0.25">
      <c r="D757" s="10"/>
      <c r="E757" s="10"/>
      <c r="F757" s="10"/>
      <c r="G757" s="10"/>
      <c r="H757" s="10"/>
      <c r="I757" s="10"/>
    </row>
    <row r="758" spans="4:9" x14ac:dyDescent="0.25">
      <c r="D758" s="10"/>
      <c r="E758" s="10"/>
      <c r="F758" s="10"/>
      <c r="G758" s="10"/>
      <c r="H758" s="10"/>
      <c r="I758" s="10"/>
    </row>
    <row r="759" spans="4:9" x14ac:dyDescent="0.25">
      <c r="D759" s="10"/>
      <c r="E759" s="10"/>
      <c r="F759" s="10"/>
      <c r="G759" s="10"/>
      <c r="H759" s="10"/>
      <c r="I759" s="10"/>
    </row>
    <row r="760" spans="4:9" x14ac:dyDescent="0.25">
      <c r="D760" s="10"/>
      <c r="E760" s="10"/>
      <c r="F760" s="10"/>
      <c r="G760" s="10"/>
      <c r="H760" s="10"/>
      <c r="I760" s="10"/>
    </row>
    <row r="761" spans="4:9" x14ac:dyDescent="0.25">
      <c r="D761" s="10"/>
      <c r="E761" s="10"/>
      <c r="F761" s="10"/>
      <c r="G761" s="10"/>
      <c r="H761" s="10"/>
      <c r="I761" s="10"/>
    </row>
    <row r="762" spans="4:9" x14ac:dyDescent="0.25">
      <c r="D762" s="10"/>
      <c r="E762" s="10"/>
      <c r="F762" s="10"/>
      <c r="G762" s="10"/>
      <c r="H762" s="10"/>
      <c r="I762" s="10"/>
    </row>
    <row r="763" spans="4:9" x14ac:dyDescent="0.25">
      <c r="D763" s="10"/>
      <c r="E763" s="10"/>
      <c r="F763" s="10"/>
      <c r="G763" s="10"/>
      <c r="H763" s="10"/>
      <c r="I763" s="10"/>
    </row>
    <row r="764" spans="4:9" x14ac:dyDescent="0.25">
      <c r="D764" s="10"/>
      <c r="E764" s="10"/>
      <c r="F764" s="10"/>
      <c r="G764" s="10"/>
      <c r="H764" s="10"/>
      <c r="I764" s="10"/>
    </row>
    <row r="765" spans="4:9" x14ac:dyDescent="0.25">
      <c r="D765" s="10"/>
      <c r="E765" s="10"/>
      <c r="F765" s="10"/>
      <c r="G765" s="10"/>
      <c r="H765" s="10"/>
      <c r="I765" s="10"/>
    </row>
    <row r="766" spans="4:9" x14ac:dyDescent="0.25">
      <c r="D766" s="10"/>
      <c r="E766" s="10"/>
      <c r="F766" s="10"/>
      <c r="G766" s="10"/>
      <c r="H766" s="10"/>
      <c r="I766" s="10"/>
    </row>
    <row r="767" spans="4:9" x14ac:dyDescent="0.25">
      <c r="D767" s="10"/>
      <c r="E767" s="10"/>
      <c r="F767" s="10"/>
      <c r="G767" s="10"/>
      <c r="H767" s="10"/>
      <c r="I767" s="10"/>
    </row>
    <row r="768" spans="4:9" x14ac:dyDescent="0.25">
      <c r="D768" s="10"/>
      <c r="E768" s="10"/>
      <c r="F768" s="10"/>
      <c r="G768" s="10"/>
      <c r="H768" s="10"/>
      <c r="I768" s="10"/>
    </row>
    <row r="769" spans="4:9" x14ac:dyDescent="0.25">
      <c r="D769" s="10"/>
      <c r="E769" s="10"/>
      <c r="F769" s="10"/>
      <c r="G769" s="10"/>
      <c r="H769" s="10"/>
      <c r="I769" s="10"/>
    </row>
    <row r="770" spans="4:9" x14ac:dyDescent="0.25">
      <c r="D770" s="10"/>
      <c r="E770" s="10"/>
      <c r="F770" s="10"/>
      <c r="G770" s="10"/>
      <c r="H770" s="10"/>
      <c r="I770" s="10"/>
    </row>
    <row r="771" spans="4:9" x14ac:dyDescent="0.25">
      <c r="D771" s="10"/>
      <c r="E771" s="10"/>
      <c r="F771" s="10"/>
      <c r="G771" s="10"/>
      <c r="H771" s="10"/>
      <c r="I771" s="10"/>
    </row>
    <row r="772" spans="4:9" x14ac:dyDescent="0.25">
      <c r="D772" s="10"/>
      <c r="E772" s="10"/>
      <c r="F772" s="10"/>
      <c r="G772" s="10"/>
      <c r="H772" s="10"/>
      <c r="I772" s="10"/>
    </row>
    <row r="773" spans="4:9" x14ac:dyDescent="0.25">
      <c r="D773" s="10"/>
      <c r="E773" s="10"/>
      <c r="F773" s="10"/>
      <c r="G773" s="10"/>
      <c r="H773" s="10"/>
      <c r="I773" s="10"/>
    </row>
    <row r="774" spans="4:9" x14ac:dyDescent="0.25">
      <c r="D774" s="10"/>
      <c r="E774" s="10"/>
      <c r="F774" s="10"/>
      <c r="G774" s="10"/>
      <c r="H774" s="10"/>
      <c r="I774" s="10"/>
    </row>
    <row r="775" spans="4:9" x14ac:dyDescent="0.25">
      <c r="D775" s="10"/>
      <c r="E775" s="10"/>
      <c r="F775" s="10"/>
      <c r="G775" s="10"/>
      <c r="H775" s="10"/>
      <c r="I775" s="10"/>
    </row>
    <row r="776" spans="4:9" x14ac:dyDescent="0.25">
      <c r="D776" s="10"/>
      <c r="E776" s="10"/>
      <c r="F776" s="10"/>
      <c r="G776" s="10"/>
      <c r="H776" s="10"/>
      <c r="I776" s="10"/>
    </row>
    <row r="777" spans="4:9" x14ac:dyDescent="0.25">
      <c r="D777" s="10"/>
      <c r="E777" s="10"/>
      <c r="F777" s="10"/>
      <c r="G777" s="10"/>
      <c r="H777" s="10"/>
      <c r="I777" s="10"/>
    </row>
    <row r="778" spans="4:9" x14ac:dyDescent="0.25">
      <c r="D778" s="10"/>
      <c r="E778" s="10"/>
      <c r="F778" s="10"/>
      <c r="G778" s="10"/>
      <c r="H778" s="10"/>
      <c r="I778" s="10"/>
    </row>
    <row r="779" spans="4:9" x14ac:dyDescent="0.25">
      <c r="D779" s="10"/>
      <c r="E779" s="10"/>
      <c r="F779" s="10"/>
      <c r="G779" s="10"/>
      <c r="H779" s="10"/>
      <c r="I779" s="10"/>
    </row>
    <row r="780" spans="4:9" x14ac:dyDescent="0.25">
      <c r="D780" s="10"/>
      <c r="E780" s="10"/>
      <c r="F780" s="10"/>
      <c r="G780" s="10"/>
      <c r="H780" s="10"/>
      <c r="I780" s="10"/>
    </row>
    <row r="781" spans="4:9" x14ac:dyDescent="0.25">
      <c r="D781" s="10"/>
      <c r="E781" s="10"/>
      <c r="F781" s="10"/>
      <c r="G781" s="10"/>
      <c r="H781" s="10"/>
      <c r="I781" s="10"/>
    </row>
    <row r="782" spans="4:9" x14ac:dyDescent="0.25">
      <c r="D782" s="10"/>
      <c r="E782" s="10"/>
      <c r="F782" s="10"/>
      <c r="G782" s="10"/>
      <c r="H782" s="10"/>
      <c r="I782" s="10"/>
    </row>
    <row r="783" spans="4:9" x14ac:dyDescent="0.25">
      <c r="D783" s="10"/>
      <c r="E783" s="10"/>
      <c r="F783" s="10"/>
      <c r="G783" s="10"/>
      <c r="H783" s="10"/>
      <c r="I783" s="10"/>
    </row>
    <row r="784" spans="4:9" x14ac:dyDescent="0.25">
      <c r="D784" s="10"/>
      <c r="E784" s="10"/>
      <c r="F784" s="10"/>
      <c r="G784" s="10"/>
      <c r="H784" s="10"/>
      <c r="I784" s="10"/>
    </row>
    <row r="785" spans="4:9" x14ac:dyDescent="0.25">
      <c r="D785" s="10"/>
      <c r="E785" s="10"/>
      <c r="F785" s="10"/>
      <c r="G785" s="10"/>
      <c r="H785" s="10"/>
      <c r="I785" s="10"/>
    </row>
    <row r="786" spans="4:9" x14ac:dyDescent="0.25">
      <c r="D786" s="10"/>
      <c r="E786" s="10"/>
      <c r="F786" s="10"/>
      <c r="G786" s="10"/>
      <c r="H786" s="10"/>
      <c r="I786" s="10"/>
    </row>
    <row r="787" spans="4:9" x14ac:dyDescent="0.25">
      <c r="D787" s="10"/>
      <c r="E787" s="10"/>
      <c r="F787" s="10"/>
      <c r="G787" s="10"/>
      <c r="H787" s="10"/>
      <c r="I787" s="10"/>
    </row>
    <row r="788" spans="4:9" x14ac:dyDescent="0.25">
      <c r="D788" s="10"/>
      <c r="E788" s="10"/>
      <c r="F788" s="10"/>
      <c r="G788" s="10"/>
      <c r="H788" s="10"/>
      <c r="I788" s="10"/>
    </row>
    <row r="789" spans="4:9" x14ac:dyDescent="0.25">
      <c r="D789" s="10"/>
      <c r="E789" s="10"/>
      <c r="F789" s="10"/>
      <c r="G789" s="10"/>
      <c r="H789" s="10"/>
      <c r="I789" s="10"/>
    </row>
    <row r="790" spans="4:9" x14ac:dyDescent="0.25">
      <c r="D790" s="10"/>
      <c r="E790" s="10"/>
      <c r="F790" s="10"/>
      <c r="G790" s="10"/>
      <c r="H790" s="10"/>
      <c r="I790" s="10"/>
    </row>
    <row r="791" spans="4:9" x14ac:dyDescent="0.25">
      <c r="D791" s="10"/>
      <c r="E791" s="10"/>
      <c r="F791" s="10"/>
      <c r="G791" s="10"/>
      <c r="H791" s="10"/>
      <c r="I791" s="10"/>
    </row>
    <row r="792" spans="4:9" x14ac:dyDescent="0.25">
      <c r="D792" s="10"/>
      <c r="E792" s="10"/>
      <c r="F792" s="10"/>
      <c r="G792" s="10"/>
      <c r="H792" s="10"/>
      <c r="I792" s="10"/>
    </row>
    <row r="793" spans="4:9" x14ac:dyDescent="0.25">
      <c r="D793" s="10"/>
      <c r="E793" s="10"/>
      <c r="F793" s="10"/>
      <c r="G793" s="10"/>
      <c r="H793" s="10"/>
      <c r="I793" s="10"/>
    </row>
    <row r="794" spans="4:9" x14ac:dyDescent="0.25">
      <c r="D794" s="10"/>
      <c r="E794" s="10"/>
      <c r="F794" s="10"/>
      <c r="G794" s="10"/>
      <c r="H794" s="10"/>
      <c r="I794" s="10"/>
    </row>
    <row r="795" spans="4:9" x14ac:dyDescent="0.25">
      <c r="D795" s="10"/>
      <c r="E795" s="10"/>
      <c r="F795" s="10"/>
      <c r="G795" s="10"/>
      <c r="H795" s="10"/>
      <c r="I795" s="10"/>
    </row>
    <row r="796" spans="4:9" x14ac:dyDescent="0.25">
      <c r="D796" s="10"/>
      <c r="E796" s="10"/>
      <c r="F796" s="10"/>
      <c r="G796" s="10"/>
      <c r="H796" s="10"/>
      <c r="I796" s="10"/>
    </row>
    <row r="797" spans="4:9" x14ac:dyDescent="0.25">
      <c r="D797" s="10"/>
      <c r="E797" s="10"/>
      <c r="F797" s="10"/>
      <c r="G797" s="10"/>
      <c r="H797" s="10"/>
      <c r="I797" s="10"/>
    </row>
    <row r="798" spans="4:9" x14ac:dyDescent="0.25">
      <c r="D798" s="10"/>
      <c r="E798" s="10"/>
      <c r="F798" s="10"/>
      <c r="G798" s="10"/>
      <c r="H798" s="10"/>
      <c r="I798" s="10"/>
    </row>
    <row r="799" spans="4:9" x14ac:dyDescent="0.25">
      <c r="D799" s="10"/>
      <c r="E799" s="10"/>
      <c r="F799" s="10"/>
      <c r="G799" s="10"/>
      <c r="H799" s="10"/>
      <c r="I799" s="10"/>
    </row>
    <row r="800" spans="4:9" x14ac:dyDescent="0.25">
      <c r="D800" s="10"/>
      <c r="E800" s="10"/>
      <c r="F800" s="10"/>
      <c r="G800" s="10"/>
      <c r="H800" s="10"/>
      <c r="I800" s="10"/>
    </row>
    <row r="801" spans="4:9" x14ac:dyDescent="0.25">
      <c r="D801" s="10"/>
      <c r="E801" s="10"/>
      <c r="F801" s="10"/>
      <c r="G801" s="10"/>
      <c r="H801" s="10"/>
      <c r="I801" s="10"/>
    </row>
    <row r="802" spans="4:9" x14ac:dyDescent="0.25">
      <c r="D802" s="10"/>
      <c r="E802" s="10"/>
      <c r="F802" s="10"/>
      <c r="G802" s="10"/>
      <c r="H802" s="10"/>
      <c r="I802" s="10"/>
    </row>
    <row r="803" spans="4:9" x14ac:dyDescent="0.25">
      <c r="D803" s="10"/>
      <c r="E803" s="10"/>
      <c r="F803" s="10"/>
      <c r="G803" s="10"/>
      <c r="H803" s="10"/>
      <c r="I803" s="10"/>
    </row>
    <row r="804" spans="4:9" x14ac:dyDescent="0.25">
      <c r="D804" s="10"/>
      <c r="E804" s="10"/>
      <c r="F804" s="10"/>
      <c r="G804" s="10"/>
      <c r="H804" s="10"/>
      <c r="I804" s="10"/>
    </row>
    <row r="805" spans="4:9" x14ac:dyDescent="0.25">
      <c r="D805" s="10"/>
      <c r="E805" s="10"/>
      <c r="F805" s="10"/>
      <c r="G805" s="10"/>
      <c r="H805" s="10"/>
      <c r="I805" s="10"/>
    </row>
    <row r="806" spans="4:9" x14ac:dyDescent="0.25">
      <c r="D806" s="10"/>
      <c r="E806" s="10"/>
      <c r="F806" s="10"/>
      <c r="G806" s="10"/>
      <c r="H806" s="10"/>
      <c r="I806" s="10"/>
    </row>
    <row r="807" spans="4:9" x14ac:dyDescent="0.25">
      <c r="D807" s="10"/>
      <c r="E807" s="10"/>
      <c r="F807" s="10"/>
      <c r="G807" s="10"/>
      <c r="H807" s="10"/>
      <c r="I807" s="10"/>
    </row>
    <row r="808" spans="4:9" x14ac:dyDescent="0.25">
      <c r="D808" s="10"/>
      <c r="E808" s="10"/>
      <c r="F808" s="10"/>
      <c r="G808" s="10"/>
      <c r="H808" s="10"/>
      <c r="I808" s="10"/>
    </row>
    <row r="809" spans="4:9" x14ac:dyDescent="0.25">
      <c r="D809" s="10"/>
      <c r="E809" s="10"/>
      <c r="F809" s="10"/>
      <c r="G809" s="10"/>
      <c r="H809" s="10"/>
      <c r="I809" s="10"/>
    </row>
    <row r="810" spans="4:9" x14ac:dyDescent="0.25">
      <c r="D810" s="10"/>
      <c r="E810" s="10"/>
      <c r="F810" s="10"/>
      <c r="G810" s="10"/>
      <c r="H810" s="10"/>
      <c r="I810" s="10"/>
    </row>
    <row r="811" spans="4:9" x14ac:dyDescent="0.25">
      <c r="D811" s="10"/>
      <c r="E811" s="10"/>
      <c r="F811" s="10"/>
      <c r="G811" s="10"/>
      <c r="H811" s="10"/>
      <c r="I811" s="10"/>
    </row>
    <row r="812" spans="4:9" x14ac:dyDescent="0.25">
      <c r="D812" s="10"/>
      <c r="E812" s="10"/>
      <c r="F812" s="10"/>
      <c r="G812" s="10"/>
      <c r="H812" s="10"/>
      <c r="I812" s="10"/>
    </row>
    <row r="813" spans="4:9" x14ac:dyDescent="0.25">
      <c r="D813" s="10"/>
      <c r="E813" s="10"/>
      <c r="F813" s="10"/>
      <c r="G813" s="10"/>
      <c r="H813" s="10"/>
      <c r="I813" s="10"/>
    </row>
    <row r="814" spans="4:9" x14ac:dyDescent="0.25">
      <c r="D814" s="10"/>
      <c r="E814" s="10"/>
      <c r="F814" s="10"/>
      <c r="G814" s="10"/>
      <c r="H814" s="10"/>
      <c r="I814" s="10"/>
    </row>
    <row r="815" spans="4:9" x14ac:dyDescent="0.25">
      <c r="D815" s="10"/>
      <c r="E815" s="10"/>
      <c r="F815" s="10"/>
      <c r="G815" s="10"/>
      <c r="H815" s="10"/>
      <c r="I815" s="10"/>
    </row>
    <row r="816" spans="4:9" x14ac:dyDescent="0.25">
      <c r="D816" s="10"/>
      <c r="E816" s="10"/>
      <c r="F816" s="10"/>
      <c r="G816" s="10"/>
      <c r="H816" s="10"/>
      <c r="I816" s="10"/>
    </row>
    <row r="817" spans="4:9" x14ac:dyDescent="0.25">
      <c r="D817" s="10"/>
      <c r="E817" s="10"/>
      <c r="F817" s="10"/>
      <c r="G817" s="10"/>
      <c r="H817" s="10"/>
      <c r="I817" s="10"/>
    </row>
    <row r="818" spans="4:9" x14ac:dyDescent="0.25">
      <c r="D818" s="10"/>
      <c r="E818" s="10"/>
      <c r="F818" s="10"/>
      <c r="G818" s="10"/>
      <c r="H818" s="10"/>
      <c r="I818" s="10"/>
    </row>
    <row r="819" spans="4:9" x14ac:dyDescent="0.25">
      <c r="D819" s="10"/>
      <c r="E819" s="10"/>
      <c r="F819" s="10"/>
      <c r="G819" s="10"/>
      <c r="H819" s="10"/>
      <c r="I819" s="10"/>
    </row>
    <row r="820" spans="4:9" x14ac:dyDescent="0.25">
      <c r="D820" s="10"/>
      <c r="E820" s="10"/>
      <c r="F820" s="10"/>
      <c r="G820" s="10"/>
      <c r="H820" s="10"/>
      <c r="I820" s="10"/>
    </row>
    <row r="821" spans="4:9" x14ac:dyDescent="0.25">
      <c r="D821" s="10"/>
      <c r="E821" s="10"/>
      <c r="F821" s="10"/>
      <c r="G821" s="10"/>
      <c r="H821" s="10"/>
      <c r="I821" s="10"/>
    </row>
    <row r="822" spans="4:9" x14ac:dyDescent="0.25">
      <c r="D822" s="10"/>
      <c r="E822" s="10"/>
      <c r="F822" s="10"/>
      <c r="G822" s="10"/>
      <c r="H822" s="10"/>
      <c r="I822" s="10"/>
    </row>
    <row r="823" spans="4:9" x14ac:dyDescent="0.25">
      <c r="D823" s="10"/>
      <c r="E823" s="10"/>
      <c r="F823" s="10"/>
      <c r="G823" s="10"/>
      <c r="H823" s="10"/>
      <c r="I823" s="10"/>
    </row>
    <row r="824" spans="4:9" x14ac:dyDescent="0.25">
      <c r="D824" s="10"/>
      <c r="E824" s="10"/>
      <c r="F824" s="10"/>
      <c r="G824" s="10"/>
      <c r="H824" s="10"/>
      <c r="I824" s="10"/>
    </row>
    <row r="825" spans="4:9" x14ac:dyDescent="0.25">
      <c r="D825" s="10"/>
      <c r="E825" s="10"/>
      <c r="F825" s="10"/>
      <c r="G825" s="10"/>
      <c r="H825" s="10"/>
      <c r="I825" s="10"/>
    </row>
    <row r="826" spans="4:9" x14ac:dyDescent="0.25">
      <c r="D826" s="10"/>
      <c r="E826" s="10"/>
      <c r="F826" s="10"/>
      <c r="G826" s="10"/>
      <c r="H826" s="10"/>
      <c r="I826" s="10"/>
    </row>
    <row r="827" spans="4:9" x14ac:dyDescent="0.25">
      <c r="D827" s="10"/>
      <c r="E827" s="10"/>
      <c r="F827" s="10"/>
      <c r="G827" s="10"/>
      <c r="H827" s="10"/>
      <c r="I827" s="10"/>
    </row>
    <row r="828" spans="4:9" x14ac:dyDescent="0.25">
      <c r="D828" s="10"/>
      <c r="E828" s="10"/>
      <c r="F828" s="10"/>
      <c r="G828" s="10"/>
      <c r="H828" s="10"/>
      <c r="I828" s="10"/>
    </row>
    <row r="829" spans="4:9" x14ac:dyDescent="0.25">
      <c r="D829" s="10"/>
      <c r="E829" s="10"/>
      <c r="F829" s="10"/>
      <c r="G829" s="10"/>
      <c r="H829" s="10"/>
      <c r="I829" s="10"/>
    </row>
    <row r="830" spans="4:9" x14ac:dyDescent="0.25">
      <c r="D830" s="10"/>
      <c r="E830" s="10"/>
      <c r="F830" s="10"/>
      <c r="G830" s="10"/>
      <c r="H830" s="10"/>
      <c r="I830" s="10"/>
    </row>
    <row r="831" spans="4:9" x14ac:dyDescent="0.25">
      <c r="D831" s="10"/>
      <c r="E831" s="10"/>
      <c r="F831" s="10"/>
      <c r="G831" s="10"/>
      <c r="H831" s="10"/>
      <c r="I831" s="10"/>
    </row>
    <row r="832" spans="4:9" x14ac:dyDescent="0.25">
      <c r="D832" s="10"/>
      <c r="E832" s="10"/>
      <c r="F832" s="10"/>
      <c r="G832" s="10"/>
      <c r="H832" s="10"/>
      <c r="I832" s="10"/>
    </row>
    <row r="833" spans="4:9" x14ac:dyDescent="0.25">
      <c r="D833" s="10"/>
      <c r="E833" s="10"/>
      <c r="F833" s="10"/>
      <c r="G833" s="10"/>
      <c r="H833" s="10"/>
      <c r="I833" s="10"/>
    </row>
    <row r="834" spans="4:9" x14ac:dyDescent="0.25">
      <c r="D834" s="10"/>
      <c r="E834" s="10"/>
      <c r="F834" s="10"/>
      <c r="G834" s="10"/>
      <c r="H834" s="10"/>
      <c r="I834" s="10"/>
    </row>
    <row r="835" spans="4:9" x14ac:dyDescent="0.25">
      <c r="D835" s="10"/>
      <c r="E835" s="10"/>
      <c r="F835" s="10"/>
      <c r="G835" s="10"/>
      <c r="H835" s="10"/>
      <c r="I835" s="10"/>
    </row>
    <row r="836" spans="4:9" x14ac:dyDescent="0.25">
      <c r="D836" s="10"/>
      <c r="E836" s="10"/>
      <c r="F836" s="10"/>
      <c r="G836" s="10"/>
      <c r="H836" s="10"/>
      <c r="I836" s="10"/>
    </row>
    <row r="837" spans="4:9" x14ac:dyDescent="0.25">
      <c r="D837" s="10"/>
      <c r="E837" s="10"/>
      <c r="F837" s="10"/>
      <c r="G837" s="10"/>
      <c r="H837" s="10"/>
      <c r="I837" s="10"/>
    </row>
    <row r="838" spans="4:9" x14ac:dyDescent="0.25">
      <c r="D838" s="10"/>
      <c r="E838" s="10"/>
      <c r="F838" s="10"/>
      <c r="G838" s="10"/>
      <c r="H838" s="10"/>
      <c r="I838" s="10"/>
    </row>
    <row r="839" spans="4:9" x14ac:dyDescent="0.25">
      <c r="D839" s="10"/>
      <c r="E839" s="10"/>
      <c r="F839" s="10"/>
      <c r="G839" s="10"/>
      <c r="H839" s="10"/>
      <c r="I839" s="10"/>
    </row>
    <row r="840" spans="4:9" x14ac:dyDescent="0.25">
      <c r="D840" s="10"/>
      <c r="E840" s="10"/>
      <c r="F840" s="10"/>
      <c r="G840" s="10"/>
      <c r="H840" s="10"/>
      <c r="I840" s="10"/>
    </row>
    <row r="841" spans="4:9" x14ac:dyDescent="0.25">
      <c r="D841" s="10"/>
      <c r="E841" s="10"/>
      <c r="F841" s="10"/>
      <c r="G841" s="10"/>
      <c r="H841" s="10"/>
      <c r="I841" s="10"/>
    </row>
    <row r="842" spans="4:9" x14ac:dyDescent="0.25">
      <c r="D842" s="10"/>
      <c r="E842" s="10"/>
      <c r="F842" s="10"/>
      <c r="G842" s="10"/>
      <c r="H842" s="10"/>
      <c r="I842" s="10"/>
    </row>
    <row r="843" spans="4:9" x14ac:dyDescent="0.25">
      <c r="D843" s="10"/>
      <c r="E843" s="10"/>
      <c r="F843" s="10"/>
      <c r="G843" s="10"/>
      <c r="H843" s="10"/>
      <c r="I843" s="10"/>
    </row>
    <row r="844" spans="4:9" x14ac:dyDescent="0.25">
      <c r="D844" s="10"/>
      <c r="E844" s="10"/>
      <c r="F844" s="10"/>
      <c r="G844" s="10"/>
      <c r="H844" s="10"/>
      <c r="I844" s="10"/>
    </row>
    <row r="845" spans="4:9" x14ac:dyDescent="0.25">
      <c r="D845" s="10"/>
      <c r="E845" s="10"/>
      <c r="F845" s="10"/>
      <c r="G845" s="10"/>
      <c r="H845" s="10"/>
      <c r="I845" s="10"/>
    </row>
    <row r="846" spans="4:9" x14ac:dyDescent="0.25">
      <c r="D846" s="10"/>
      <c r="E846" s="10"/>
      <c r="F846" s="10"/>
      <c r="G846" s="10"/>
      <c r="H846" s="10"/>
      <c r="I846" s="10"/>
    </row>
    <row r="847" spans="4:9" x14ac:dyDescent="0.25">
      <c r="D847" s="10"/>
      <c r="E847" s="10"/>
      <c r="F847" s="10"/>
      <c r="G847" s="10"/>
      <c r="H847" s="10"/>
      <c r="I847" s="10"/>
    </row>
    <row r="848" spans="4:9" x14ac:dyDescent="0.25">
      <c r="D848" s="10"/>
      <c r="E848" s="10"/>
      <c r="F848" s="10"/>
      <c r="G848" s="10"/>
      <c r="H848" s="10"/>
      <c r="I848" s="10"/>
    </row>
    <row r="849" spans="4:9" x14ac:dyDescent="0.25">
      <c r="D849" s="10"/>
      <c r="E849" s="10"/>
      <c r="F849" s="10"/>
      <c r="G849" s="10"/>
      <c r="H849" s="10"/>
      <c r="I849" s="10"/>
    </row>
    <row r="850" spans="4:9" x14ac:dyDescent="0.25">
      <c r="D850" s="10"/>
      <c r="E850" s="10"/>
      <c r="F850" s="10"/>
      <c r="G850" s="10"/>
      <c r="H850" s="10"/>
      <c r="I850" s="10"/>
    </row>
    <row r="851" spans="4:9" x14ac:dyDescent="0.25">
      <c r="D851" s="10"/>
      <c r="E851" s="10"/>
      <c r="F851" s="10"/>
      <c r="G851" s="10"/>
      <c r="H851" s="10"/>
      <c r="I851" s="10"/>
    </row>
    <row r="852" spans="4:9" x14ac:dyDescent="0.25">
      <c r="D852" s="10"/>
      <c r="E852" s="10"/>
      <c r="F852" s="10"/>
      <c r="G852" s="10"/>
      <c r="H852" s="10"/>
      <c r="I852" s="10"/>
    </row>
    <row r="853" spans="4:9" x14ac:dyDescent="0.25">
      <c r="D853" s="10"/>
      <c r="E853" s="10"/>
      <c r="F853" s="10"/>
      <c r="G853" s="10"/>
      <c r="H853" s="10"/>
      <c r="I853" s="10"/>
    </row>
    <row r="854" spans="4:9" x14ac:dyDescent="0.25">
      <c r="D854" s="10"/>
      <c r="E854" s="10"/>
      <c r="F854" s="10"/>
      <c r="G854" s="10"/>
      <c r="H854" s="10"/>
      <c r="I854" s="10"/>
    </row>
    <row r="855" spans="4:9" x14ac:dyDescent="0.25">
      <c r="D855" s="10"/>
      <c r="E855" s="10"/>
      <c r="F855" s="10"/>
      <c r="G855" s="10"/>
      <c r="H855" s="10"/>
      <c r="I855" s="10"/>
    </row>
    <row r="856" spans="4:9" x14ac:dyDescent="0.25">
      <c r="D856" s="10"/>
      <c r="E856" s="10"/>
      <c r="F856" s="10"/>
      <c r="G856" s="10"/>
      <c r="H856" s="10"/>
      <c r="I856" s="10"/>
    </row>
    <row r="857" spans="4:9" x14ac:dyDescent="0.25">
      <c r="D857" s="10"/>
      <c r="E857" s="10"/>
      <c r="F857" s="10"/>
      <c r="G857" s="10"/>
      <c r="H857" s="10"/>
      <c r="I857" s="10"/>
    </row>
    <row r="858" spans="4:9" x14ac:dyDescent="0.25">
      <c r="D858" s="10"/>
      <c r="E858" s="10"/>
      <c r="F858" s="10"/>
      <c r="G858" s="10"/>
      <c r="H858" s="10"/>
      <c r="I858" s="10"/>
    </row>
    <row r="859" spans="4:9" x14ac:dyDescent="0.25">
      <c r="D859" s="10"/>
      <c r="E859" s="10"/>
      <c r="F859" s="10"/>
      <c r="G859" s="10"/>
      <c r="H859" s="10"/>
      <c r="I859" s="10"/>
    </row>
    <row r="860" spans="4:9" x14ac:dyDescent="0.25">
      <c r="D860" s="10"/>
      <c r="E860" s="10"/>
      <c r="F860" s="10"/>
      <c r="G860" s="10"/>
      <c r="H860" s="10"/>
      <c r="I860" s="10"/>
    </row>
    <row r="861" spans="4:9" x14ac:dyDescent="0.25">
      <c r="D861" s="10"/>
      <c r="E861" s="10"/>
      <c r="F861" s="10"/>
      <c r="G861" s="10"/>
      <c r="H861" s="10"/>
      <c r="I861" s="10"/>
    </row>
    <row r="862" spans="4:9" x14ac:dyDescent="0.25">
      <c r="D862" s="10"/>
      <c r="E862" s="10"/>
      <c r="F862" s="10"/>
      <c r="G862" s="10"/>
      <c r="H862" s="10"/>
      <c r="I862" s="10"/>
    </row>
    <row r="863" spans="4:9" x14ac:dyDescent="0.25">
      <c r="D863" s="10"/>
      <c r="E863" s="10"/>
      <c r="F863" s="10"/>
      <c r="G863" s="10"/>
      <c r="H863" s="10"/>
      <c r="I863" s="10"/>
    </row>
    <row r="864" spans="4:9" x14ac:dyDescent="0.25">
      <c r="D864" s="10"/>
      <c r="E864" s="10"/>
      <c r="F864" s="10"/>
      <c r="G864" s="10"/>
      <c r="H864" s="10"/>
      <c r="I864" s="10"/>
    </row>
    <row r="865" spans="4:9" x14ac:dyDescent="0.25">
      <c r="D865" s="10"/>
      <c r="E865" s="10"/>
      <c r="F865" s="10"/>
      <c r="G865" s="10"/>
      <c r="H865" s="10"/>
      <c r="I865" s="10"/>
    </row>
    <row r="866" spans="4:9" x14ac:dyDescent="0.25">
      <c r="D866" s="10"/>
      <c r="E866" s="10"/>
      <c r="F866" s="10"/>
      <c r="G866" s="10"/>
      <c r="H866" s="10"/>
      <c r="I866" s="10"/>
    </row>
    <row r="867" spans="4:9" x14ac:dyDescent="0.25">
      <c r="D867" s="10"/>
      <c r="E867" s="10"/>
      <c r="F867" s="10"/>
      <c r="G867" s="10"/>
      <c r="H867" s="10"/>
      <c r="I867" s="10"/>
    </row>
    <row r="868" spans="4:9" x14ac:dyDescent="0.25">
      <c r="D868" s="10"/>
      <c r="E868" s="10"/>
      <c r="F868" s="10"/>
      <c r="G868" s="10"/>
      <c r="H868" s="10"/>
      <c r="I868" s="10"/>
    </row>
    <row r="869" spans="4:9" x14ac:dyDescent="0.25">
      <c r="D869" s="10"/>
      <c r="E869" s="10"/>
      <c r="F869" s="10"/>
      <c r="G869" s="10"/>
      <c r="H869" s="10"/>
      <c r="I869" s="10"/>
    </row>
    <row r="870" spans="4:9" x14ac:dyDescent="0.25">
      <c r="D870" s="10"/>
      <c r="E870" s="10"/>
      <c r="F870" s="10"/>
      <c r="G870" s="10"/>
      <c r="H870" s="10"/>
      <c r="I870" s="10"/>
    </row>
    <row r="871" spans="4:9" x14ac:dyDescent="0.25">
      <c r="D871" s="10"/>
      <c r="E871" s="10"/>
      <c r="F871" s="10"/>
      <c r="G871" s="10"/>
      <c r="H871" s="10"/>
      <c r="I871" s="10"/>
    </row>
    <row r="872" spans="4:9" x14ac:dyDescent="0.25">
      <c r="D872" s="10"/>
      <c r="E872" s="10"/>
      <c r="F872" s="10"/>
      <c r="G872" s="10"/>
      <c r="H872" s="10"/>
      <c r="I872" s="10"/>
    </row>
    <row r="873" spans="4:9" x14ac:dyDescent="0.25">
      <c r="D873" s="10"/>
      <c r="E873" s="10"/>
      <c r="F873" s="10"/>
      <c r="G873" s="10"/>
      <c r="H873" s="10"/>
      <c r="I873" s="10"/>
    </row>
    <row r="874" spans="4:9" x14ac:dyDescent="0.25">
      <c r="D874" s="10"/>
      <c r="E874" s="10"/>
      <c r="F874" s="10"/>
      <c r="G874" s="10"/>
      <c r="H874" s="10"/>
      <c r="I874" s="10"/>
    </row>
    <row r="875" spans="4:9" x14ac:dyDescent="0.25">
      <c r="D875" s="10"/>
      <c r="E875" s="10"/>
      <c r="F875" s="10"/>
      <c r="G875" s="10"/>
      <c r="H875" s="10"/>
      <c r="I875" s="10"/>
    </row>
    <row r="876" spans="4:9" x14ac:dyDescent="0.25">
      <c r="D876" s="10"/>
      <c r="E876" s="10"/>
      <c r="F876" s="10"/>
      <c r="G876" s="10"/>
      <c r="H876" s="10"/>
      <c r="I876" s="10"/>
    </row>
    <row r="877" spans="4:9" x14ac:dyDescent="0.25">
      <c r="D877" s="10"/>
      <c r="E877" s="10"/>
      <c r="F877" s="10"/>
      <c r="G877" s="10"/>
      <c r="H877" s="10"/>
      <c r="I877" s="10"/>
    </row>
    <row r="878" spans="4:9" x14ac:dyDescent="0.25">
      <c r="D878" s="10"/>
      <c r="E878" s="10"/>
      <c r="F878" s="10"/>
      <c r="G878" s="10"/>
      <c r="H878" s="10"/>
      <c r="I878" s="10"/>
    </row>
    <row r="879" spans="4:9" x14ac:dyDescent="0.25">
      <c r="D879" s="10"/>
      <c r="E879" s="10"/>
      <c r="F879" s="10"/>
      <c r="G879" s="10"/>
      <c r="H879" s="10"/>
      <c r="I879" s="10"/>
    </row>
    <row r="880" spans="4:9" x14ac:dyDescent="0.25">
      <c r="D880" s="10"/>
      <c r="E880" s="10"/>
      <c r="F880" s="10"/>
      <c r="G880" s="10"/>
      <c r="H880" s="10"/>
      <c r="I880" s="10"/>
    </row>
    <row r="881" spans="4:9" x14ac:dyDescent="0.25">
      <c r="D881" s="10"/>
      <c r="E881" s="10"/>
      <c r="F881" s="10"/>
      <c r="G881" s="10"/>
      <c r="H881" s="10"/>
      <c r="I881" s="10"/>
    </row>
    <row r="882" spans="4:9" x14ac:dyDescent="0.25">
      <c r="D882" s="10"/>
      <c r="E882" s="10"/>
      <c r="F882" s="10"/>
      <c r="G882" s="10"/>
      <c r="H882" s="10"/>
      <c r="I882" s="10"/>
    </row>
    <row r="883" spans="4:9" x14ac:dyDescent="0.25">
      <c r="D883" s="10"/>
      <c r="E883" s="10"/>
      <c r="F883" s="10"/>
      <c r="G883" s="10"/>
      <c r="H883" s="10"/>
      <c r="I883" s="10"/>
    </row>
    <row r="884" spans="4:9" x14ac:dyDescent="0.25">
      <c r="D884" s="10"/>
      <c r="E884" s="10"/>
      <c r="F884" s="10"/>
      <c r="G884" s="10"/>
      <c r="H884" s="10"/>
      <c r="I884" s="10"/>
    </row>
    <row r="885" spans="4:9" x14ac:dyDescent="0.25">
      <c r="D885" s="10"/>
      <c r="E885" s="10"/>
      <c r="F885" s="10"/>
      <c r="G885" s="10"/>
      <c r="H885" s="10"/>
      <c r="I885" s="10"/>
    </row>
    <row r="886" spans="4:9" x14ac:dyDescent="0.25">
      <c r="D886" s="10"/>
      <c r="E886" s="10"/>
      <c r="F886" s="10"/>
      <c r="G886" s="10"/>
      <c r="H886" s="10"/>
      <c r="I886" s="10"/>
    </row>
    <row r="887" spans="4:9" x14ac:dyDescent="0.25">
      <c r="D887" s="10"/>
      <c r="E887" s="10"/>
      <c r="F887" s="10"/>
      <c r="G887" s="10"/>
      <c r="H887" s="10"/>
      <c r="I887" s="10"/>
    </row>
    <row r="888" spans="4:9" x14ac:dyDescent="0.25">
      <c r="D888" s="10"/>
      <c r="E888" s="10"/>
      <c r="F888" s="10"/>
      <c r="G888" s="10"/>
      <c r="H888" s="10"/>
      <c r="I888" s="10"/>
    </row>
    <row r="889" spans="4:9" x14ac:dyDescent="0.25">
      <c r="D889" s="10"/>
      <c r="E889" s="10"/>
      <c r="F889" s="10"/>
      <c r="G889" s="10"/>
      <c r="H889" s="10"/>
      <c r="I889" s="10"/>
    </row>
    <row r="890" spans="4:9" x14ac:dyDescent="0.25">
      <c r="D890" s="10"/>
      <c r="E890" s="10"/>
      <c r="F890" s="10"/>
      <c r="G890" s="10"/>
      <c r="H890" s="10"/>
      <c r="I890" s="10"/>
    </row>
    <row r="891" spans="4:9" x14ac:dyDescent="0.25">
      <c r="D891" s="10"/>
      <c r="E891" s="10"/>
      <c r="F891" s="10"/>
      <c r="G891" s="10"/>
      <c r="H891" s="10"/>
      <c r="I891" s="10"/>
    </row>
    <row r="892" spans="4:9" x14ac:dyDescent="0.25">
      <c r="D892" s="10"/>
      <c r="E892" s="10"/>
      <c r="F892" s="10"/>
      <c r="G892" s="10"/>
      <c r="H892" s="10"/>
      <c r="I892" s="10"/>
    </row>
    <row r="893" spans="4:9" x14ac:dyDescent="0.25">
      <c r="D893" s="10"/>
      <c r="E893" s="10"/>
      <c r="F893" s="10"/>
      <c r="G893" s="10"/>
      <c r="H893" s="10"/>
      <c r="I893" s="10"/>
    </row>
    <row r="894" spans="4:9" x14ac:dyDescent="0.25">
      <c r="D894" s="10"/>
      <c r="E894" s="10"/>
      <c r="F894" s="10"/>
      <c r="G894" s="10"/>
      <c r="H894" s="10"/>
      <c r="I894" s="10"/>
    </row>
    <row r="895" spans="4:9" x14ac:dyDescent="0.25">
      <c r="D895" s="10"/>
      <c r="E895" s="10"/>
      <c r="F895" s="10"/>
      <c r="G895" s="10"/>
      <c r="H895" s="10"/>
      <c r="I895" s="10"/>
    </row>
    <row r="896" spans="4:9" x14ac:dyDescent="0.25">
      <c r="D896" s="10"/>
      <c r="E896" s="10"/>
      <c r="F896" s="10"/>
      <c r="G896" s="10"/>
      <c r="H896" s="10"/>
      <c r="I896" s="10"/>
    </row>
    <row r="897" spans="4:9" x14ac:dyDescent="0.25">
      <c r="D897" s="10"/>
      <c r="E897" s="10"/>
      <c r="F897" s="10"/>
      <c r="G897" s="10"/>
      <c r="H897" s="10"/>
      <c r="I897" s="10"/>
    </row>
    <row r="898" spans="4:9" x14ac:dyDescent="0.25">
      <c r="D898" s="10"/>
      <c r="E898" s="10"/>
      <c r="F898" s="10"/>
      <c r="G898" s="10"/>
      <c r="H898" s="10"/>
      <c r="I898" s="10"/>
    </row>
    <row r="899" spans="4:9" x14ac:dyDescent="0.25">
      <c r="D899" s="10"/>
      <c r="E899" s="10"/>
      <c r="F899" s="10"/>
      <c r="G899" s="10"/>
      <c r="H899" s="10"/>
      <c r="I899" s="10"/>
    </row>
    <row r="900" spans="4:9" x14ac:dyDescent="0.25">
      <c r="D900" s="10"/>
      <c r="E900" s="10"/>
      <c r="F900" s="10"/>
      <c r="G900" s="10"/>
      <c r="H900" s="10"/>
      <c r="I900" s="10"/>
    </row>
    <row r="901" spans="4:9" x14ac:dyDescent="0.25">
      <c r="D901" s="10"/>
      <c r="E901" s="10"/>
      <c r="F901" s="10"/>
      <c r="G901" s="10"/>
      <c r="H901" s="10"/>
      <c r="I901" s="10"/>
    </row>
    <row r="902" spans="4:9" x14ac:dyDescent="0.25">
      <c r="D902" s="10"/>
      <c r="E902" s="10"/>
      <c r="F902" s="10"/>
      <c r="G902" s="10"/>
      <c r="H902" s="10"/>
      <c r="I902" s="10"/>
    </row>
    <row r="903" spans="4:9" x14ac:dyDescent="0.25">
      <c r="D903" s="10"/>
      <c r="E903" s="10"/>
      <c r="F903" s="10"/>
      <c r="G903" s="10"/>
      <c r="H903" s="10"/>
      <c r="I903" s="10"/>
    </row>
    <row r="904" spans="4:9" x14ac:dyDescent="0.25">
      <c r="D904" s="10"/>
      <c r="E904" s="10"/>
      <c r="F904" s="10"/>
      <c r="G904" s="10"/>
      <c r="H904" s="10"/>
      <c r="I904" s="10"/>
    </row>
    <row r="905" spans="4:9" x14ac:dyDescent="0.25">
      <c r="D905" s="10"/>
      <c r="E905" s="10"/>
      <c r="F905" s="10"/>
      <c r="G905" s="10"/>
      <c r="H905" s="10"/>
      <c r="I905" s="10"/>
    </row>
    <row r="906" spans="4:9" x14ac:dyDescent="0.25">
      <c r="D906" s="10"/>
      <c r="E906" s="10"/>
      <c r="F906" s="10"/>
      <c r="G906" s="10"/>
      <c r="H906" s="10"/>
      <c r="I906" s="10"/>
    </row>
    <row r="907" spans="4:9" x14ac:dyDescent="0.25">
      <c r="D907" s="10"/>
      <c r="E907" s="10"/>
      <c r="F907" s="10"/>
      <c r="G907" s="10"/>
      <c r="H907" s="10"/>
      <c r="I907" s="10"/>
    </row>
    <row r="908" spans="4:9" x14ac:dyDescent="0.25">
      <c r="D908" s="10"/>
      <c r="E908" s="10"/>
      <c r="F908" s="10"/>
      <c r="G908" s="10"/>
      <c r="H908" s="10"/>
      <c r="I908" s="10"/>
    </row>
    <row r="909" spans="4:9" x14ac:dyDescent="0.25">
      <c r="D909" s="10"/>
      <c r="E909" s="10"/>
      <c r="F909" s="10"/>
      <c r="G909" s="10"/>
      <c r="H909" s="10"/>
      <c r="I909" s="10"/>
    </row>
    <row r="910" spans="4:9" x14ac:dyDescent="0.25">
      <c r="D910" s="10"/>
      <c r="E910" s="10"/>
      <c r="F910" s="10"/>
      <c r="G910" s="10"/>
      <c r="H910" s="10"/>
      <c r="I910" s="10"/>
    </row>
    <row r="911" spans="4:9" x14ac:dyDescent="0.25">
      <c r="D911" s="10"/>
      <c r="E911" s="10"/>
      <c r="F911" s="10"/>
      <c r="G911" s="10"/>
      <c r="H911" s="10"/>
      <c r="I911" s="10"/>
    </row>
    <row r="912" spans="4:9" x14ac:dyDescent="0.25">
      <c r="D912" s="10"/>
      <c r="E912" s="10"/>
      <c r="F912" s="10"/>
      <c r="G912" s="10"/>
      <c r="H912" s="10"/>
      <c r="I912" s="10"/>
    </row>
    <row r="913" spans="4:9" x14ac:dyDescent="0.25">
      <c r="D913" s="10"/>
      <c r="E913" s="10"/>
      <c r="F913" s="10"/>
      <c r="G913" s="10"/>
      <c r="H913" s="10"/>
      <c r="I913" s="10"/>
    </row>
    <row r="914" spans="4:9" x14ac:dyDescent="0.25">
      <c r="D914" s="10"/>
      <c r="E914" s="10"/>
      <c r="F914" s="10"/>
      <c r="G914" s="10"/>
      <c r="H914" s="10"/>
      <c r="I914" s="10"/>
    </row>
    <row r="915" spans="4:9" x14ac:dyDescent="0.25">
      <c r="D915" s="10"/>
      <c r="E915" s="10"/>
      <c r="F915" s="10"/>
      <c r="G915" s="10"/>
      <c r="H915" s="10"/>
      <c r="I915" s="10"/>
    </row>
    <row r="916" spans="4:9" x14ac:dyDescent="0.25">
      <c r="D916" s="10"/>
      <c r="E916" s="10"/>
      <c r="F916" s="10"/>
      <c r="G916" s="10"/>
      <c r="H916" s="10"/>
      <c r="I916" s="10"/>
    </row>
    <row r="917" spans="4:9" x14ac:dyDescent="0.25">
      <c r="D917" s="10"/>
      <c r="E917" s="10"/>
      <c r="F917" s="10"/>
      <c r="G917" s="10"/>
      <c r="H917" s="10"/>
      <c r="I917" s="10"/>
    </row>
    <row r="918" spans="4:9" x14ac:dyDescent="0.25">
      <c r="D918" s="10"/>
      <c r="E918" s="10"/>
      <c r="F918" s="10"/>
      <c r="G918" s="10"/>
      <c r="H918" s="10"/>
      <c r="I918" s="10"/>
    </row>
    <row r="919" spans="4:9" x14ac:dyDescent="0.25">
      <c r="D919" s="10"/>
      <c r="E919" s="10"/>
      <c r="F919" s="10"/>
      <c r="G919" s="10"/>
      <c r="H919" s="10"/>
      <c r="I919" s="10"/>
    </row>
    <row r="920" spans="4:9" x14ac:dyDescent="0.25">
      <c r="D920" s="10"/>
      <c r="E920" s="10"/>
      <c r="F920" s="10"/>
      <c r="G920" s="10"/>
      <c r="H920" s="10"/>
      <c r="I920" s="10"/>
    </row>
    <row r="921" spans="4:9" x14ac:dyDescent="0.25">
      <c r="D921" s="10"/>
      <c r="E921" s="10"/>
      <c r="F921" s="10"/>
      <c r="G921" s="10"/>
      <c r="H921" s="10"/>
      <c r="I921" s="10"/>
    </row>
    <row r="922" spans="4:9" x14ac:dyDescent="0.25">
      <c r="D922" s="10"/>
      <c r="E922" s="10"/>
      <c r="F922" s="10"/>
      <c r="G922" s="10"/>
      <c r="H922" s="10"/>
      <c r="I922" s="10"/>
    </row>
    <row r="923" spans="4:9" x14ac:dyDescent="0.25">
      <c r="D923" s="10"/>
      <c r="E923" s="10"/>
      <c r="F923" s="10"/>
      <c r="G923" s="10"/>
      <c r="H923" s="10"/>
      <c r="I923" s="10"/>
    </row>
    <row r="924" spans="4:9" x14ac:dyDescent="0.25">
      <c r="D924" s="10"/>
      <c r="E924" s="10"/>
      <c r="F924" s="10"/>
      <c r="G924" s="10"/>
      <c r="H924" s="10"/>
      <c r="I924" s="10"/>
    </row>
    <row r="925" spans="4:9" x14ac:dyDescent="0.25">
      <c r="D925" s="10"/>
      <c r="E925" s="10"/>
      <c r="F925" s="10"/>
      <c r="G925" s="10"/>
      <c r="H925" s="10"/>
      <c r="I925" s="10"/>
    </row>
    <row r="926" spans="4:9" x14ac:dyDescent="0.25">
      <c r="D926" s="10"/>
      <c r="E926" s="10"/>
      <c r="F926" s="10"/>
      <c r="G926" s="10"/>
      <c r="H926" s="10"/>
      <c r="I926" s="10"/>
    </row>
    <row r="927" spans="4:9" x14ac:dyDescent="0.25">
      <c r="D927" s="10"/>
      <c r="E927" s="10"/>
      <c r="F927" s="10"/>
      <c r="G927" s="10"/>
      <c r="H927" s="10"/>
      <c r="I927" s="10"/>
    </row>
    <row r="928" spans="4:9" x14ac:dyDescent="0.25">
      <c r="D928" s="10"/>
      <c r="E928" s="10"/>
      <c r="F928" s="10"/>
      <c r="G928" s="10"/>
      <c r="H928" s="10"/>
      <c r="I928" s="10"/>
    </row>
    <row r="929" spans="4:9" x14ac:dyDescent="0.25">
      <c r="D929" s="10"/>
      <c r="E929" s="10"/>
      <c r="F929" s="10"/>
      <c r="G929" s="10"/>
      <c r="H929" s="10"/>
      <c r="I929" s="10"/>
    </row>
    <row r="930" spans="4:9" x14ac:dyDescent="0.25">
      <c r="D930" s="10"/>
      <c r="E930" s="10"/>
      <c r="F930" s="10"/>
      <c r="G930" s="10"/>
      <c r="H930" s="10"/>
      <c r="I930" s="10"/>
    </row>
    <row r="931" spans="4:9" x14ac:dyDescent="0.25">
      <c r="D931" s="10"/>
      <c r="E931" s="10"/>
      <c r="F931" s="10"/>
      <c r="G931" s="10"/>
      <c r="H931" s="10"/>
      <c r="I931" s="10"/>
    </row>
    <row r="932" spans="4:9" x14ac:dyDescent="0.25">
      <c r="D932" s="10"/>
      <c r="E932" s="10"/>
      <c r="F932" s="10"/>
      <c r="G932" s="10"/>
      <c r="H932" s="10"/>
      <c r="I932" s="10"/>
    </row>
    <row r="933" spans="4:9" x14ac:dyDescent="0.25">
      <c r="D933" s="10"/>
      <c r="E933" s="10"/>
      <c r="F933" s="10"/>
      <c r="G933" s="10"/>
      <c r="H933" s="10"/>
      <c r="I933" s="10"/>
    </row>
    <row r="934" spans="4:9" x14ac:dyDescent="0.25">
      <c r="D934" s="10"/>
      <c r="E934" s="10"/>
      <c r="F934" s="10"/>
      <c r="G934" s="10"/>
      <c r="H934" s="10"/>
      <c r="I934" s="10"/>
    </row>
    <row r="935" spans="4:9" x14ac:dyDescent="0.25">
      <c r="D935" s="10"/>
      <c r="E935" s="10"/>
      <c r="F935" s="10"/>
      <c r="G935" s="10"/>
      <c r="H935" s="10"/>
      <c r="I935" s="10"/>
    </row>
    <row r="936" spans="4:9" x14ac:dyDescent="0.25">
      <c r="D936" s="10"/>
      <c r="E936" s="10"/>
      <c r="F936" s="10"/>
      <c r="G936" s="10"/>
      <c r="H936" s="10"/>
      <c r="I936" s="10"/>
    </row>
    <row r="937" spans="4:9" x14ac:dyDescent="0.25">
      <c r="D937" s="10"/>
      <c r="E937" s="10"/>
      <c r="F937" s="10"/>
      <c r="G937" s="10"/>
      <c r="H937" s="10"/>
      <c r="I937" s="10"/>
    </row>
    <row r="938" spans="4:9" x14ac:dyDescent="0.25">
      <c r="D938" s="10"/>
      <c r="E938" s="10"/>
      <c r="F938" s="10"/>
      <c r="G938" s="10"/>
      <c r="H938" s="10"/>
      <c r="I938" s="10"/>
    </row>
    <row r="939" spans="4:9" x14ac:dyDescent="0.25">
      <c r="D939" s="10"/>
      <c r="E939" s="10"/>
      <c r="F939" s="10"/>
      <c r="G939" s="10"/>
      <c r="H939" s="10"/>
      <c r="I939" s="10"/>
    </row>
    <row r="940" spans="4:9" x14ac:dyDescent="0.25">
      <c r="D940" s="10"/>
      <c r="E940" s="10"/>
      <c r="F940" s="10"/>
      <c r="G940" s="10"/>
      <c r="H940" s="10"/>
      <c r="I940" s="10"/>
    </row>
    <row r="941" spans="4:9" x14ac:dyDescent="0.25">
      <c r="D941" s="10"/>
      <c r="E941" s="10"/>
      <c r="F941" s="10"/>
      <c r="G941" s="10"/>
      <c r="H941" s="10"/>
      <c r="I941" s="10"/>
    </row>
    <row r="942" spans="4:9" x14ac:dyDescent="0.25">
      <c r="D942" s="10"/>
      <c r="E942" s="10"/>
      <c r="F942" s="10"/>
      <c r="G942" s="10"/>
      <c r="H942" s="10"/>
      <c r="I942" s="10"/>
    </row>
    <row r="943" spans="4:9" x14ac:dyDescent="0.25">
      <c r="D943" s="10"/>
      <c r="E943" s="10"/>
      <c r="F943" s="10"/>
      <c r="G943" s="10"/>
      <c r="H943" s="10"/>
      <c r="I943" s="10"/>
    </row>
    <row r="944" spans="4:9" x14ac:dyDescent="0.25">
      <c r="D944" s="10"/>
      <c r="E944" s="10"/>
      <c r="F944" s="10"/>
      <c r="G944" s="10"/>
      <c r="H944" s="10"/>
      <c r="I944" s="10"/>
    </row>
    <row r="945" spans="4:9" x14ac:dyDescent="0.25">
      <c r="D945" s="10"/>
      <c r="E945" s="10"/>
      <c r="F945" s="10"/>
      <c r="G945" s="10"/>
      <c r="H945" s="10"/>
      <c r="I945" s="10"/>
    </row>
    <row r="946" spans="4:9" x14ac:dyDescent="0.25">
      <c r="D946" s="10"/>
      <c r="E946" s="10"/>
      <c r="F946" s="10"/>
      <c r="G946" s="10"/>
      <c r="H946" s="10"/>
      <c r="I946" s="10"/>
    </row>
    <row r="947" spans="4:9" x14ac:dyDescent="0.25">
      <c r="D947" s="10"/>
      <c r="E947" s="10"/>
      <c r="F947" s="10"/>
      <c r="G947" s="10"/>
      <c r="H947" s="10"/>
      <c r="I947" s="10"/>
    </row>
    <row r="948" spans="4:9" x14ac:dyDescent="0.25">
      <c r="D948" s="10"/>
      <c r="E948" s="10"/>
      <c r="F948" s="10"/>
      <c r="G948" s="10"/>
      <c r="H948" s="10"/>
      <c r="I948" s="10"/>
    </row>
    <row r="949" spans="4:9" x14ac:dyDescent="0.25">
      <c r="D949" s="10"/>
      <c r="E949" s="10"/>
      <c r="F949" s="10"/>
      <c r="G949" s="10"/>
      <c r="H949" s="10"/>
      <c r="I949" s="10"/>
    </row>
    <row r="950" spans="4:9" x14ac:dyDescent="0.25">
      <c r="D950" s="10"/>
      <c r="E950" s="10"/>
      <c r="F950" s="10"/>
      <c r="G950" s="10"/>
      <c r="H950" s="10"/>
      <c r="I950" s="10"/>
    </row>
    <row r="951" spans="4:9" x14ac:dyDescent="0.25">
      <c r="D951" s="10"/>
      <c r="E951" s="10"/>
      <c r="F951" s="10"/>
      <c r="G951" s="10"/>
      <c r="H951" s="10"/>
      <c r="I951" s="10"/>
    </row>
    <row r="952" spans="4:9" x14ac:dyDescent="0.25">
      <c r="D952" s="10"/>
      <c r="E952" s="10"/>
      <c r="F952" s="10"/>
      <c r="G952" s="10"/>
      <c r="H952" s="10"/>
      <c r="I952" s="10"/>
    </row>
    <row r="953" spans="4:9" x14ac:dyDescent="0.25">
      <c r="D953" s="10"/>
      <c r="E953" s="10"/>
      <c r="F953" s="10"/>
      <c r="G953" s="10"/>
      <c r="H953" s="10"/>
      <c r="I953" s="10"/>
    </row>
    <row r="954" spans="4:9" x14ac:dyDescent="0.25">
      <c r="D954" s="10"/>
      <c r="E954" s="10"/>
      <c r="F954" s="10"/>
      <c r="G954" s="10"/>
      <c r="H954" s="10"/>
      <c r="I954" s="10"/>
    </row>
    <row r="955" spans="4:9" x14ac:dyDescent="0.25">
      <c r="D955" s="10"/>
      <c r="E955" s="10"/>
      <c r="F955" s="10"/>
      <c r="G955" s="10"/>
      <c r="H955" s="10"/>
      <c r="I955" s="10"/>
    </row>
    <row r="956" spans="4:9" x14ac:dyDescent="0.25">
      <c r="D956" s="10"/>
      <c r="E956" s="10"/>
      <c r="F956" s="10"/>
      <c r="G956" s="10"/>
      <c r="H956" s="10"/>
      <c r="I956" s="10"/>
    </row>
    <row r="957" spans="4:9" x14ac:dyDescent="0.25">
      <c r="D957" s="10"/>
      <c r="E957" s="10"/>
      <c r="F957" s="10"/>
      <c r="G957" s="10"/>
      <c r="H957" s="10"/>
      <c r="I957" s="10"/>
    </row>
    <row r="958" spans="4:9" x14ac:dyDescent="0.25">
      <c r="D958" s="10"/>
      <c r="E958" s="10"/>
      <c r="F958" s="10"/>
      <c r="G958" s="10"/>
      <c r="H958" s="10"/>
      <c r="I958" s="10"/>
    </row>
    <row r="959" spans="4:9" x14ac:dyDescent="0.25">
      <c r="D959" s="10"/>
      <c r="E959" s="10"/>
      <c r="F959" s="10"/>
      <c r="G959" s="10"/>
      <c r="H959" s="10"/>
      <c r="I959" s="10"/>
    </row>
    <row r="960" spans="4:9" x14ac:dyDescent="0.25">
      <c r="D960" s="10"/>
      <c r="E960" s="10"/>
      <c r="F960" s="10"/>
      <c r="G960" s="10"/>
      <c r="H960" s="10"/>
      <c r="I960" s="10"/>
    </row>
    <row r="961" spans="4:9" x14ac:dyDescent="0.25">
      <c r="D961" s="10"/>
      <c r="E961" s="10"/>
      <c r="F961" s="10"/>
      <c r="G961" s="10"/>
      <c r="H961" s="10"/>
      <c r="I961" s="10"/>
    </row>
    <row r="962" spans="4:9" x14ac:dyDescent="0.25">
      <c r="D962" s="10"/>
      <c r="E962" s="10"/>
      <c r="F962" s="10"/>
      <c r="G962" s="10"/>
      <c r="H962" s="10"/>
      <c r="I962" s="10"/>
    </row>
    <row r="963" spans="4:9" x14ac:dyDescent="0.25">
      <c r="D963" s="10"/>
      <c r="E963" s="10"/>
      <c r="F963" s="10"/>
      <c r="G963" s="10"/>
      <c r="H963" s="10"/>
      <c r="I963" s="10"/>
    </row>
    <row r="964" spans="4:9" x14ac:dyDescent="0.25">
      <c r="D964" s="10"/>
      <c r="E964" s="10"/>
      <c r="F964" s="10"/>
      <c r="G964" s="10"/>
      <c r="H964" s="10"/>
      <c r="I964" s="10"/>
    </row>
    <row r="965" spans="4:9" x14ac:dyDescent="0.25">
      <c r="D965" s="10"/>
      <c r="E965" s="10"/>
      <c r="F965" s="10"/>
      <c r="G965" s="10"/>
      <c r="H965" s="10"/>
      <c r="I965" s="10"/>
    </row>
    <row r="966" spans="4:9" x14ac:dyDescent="0.25">
      <c r="D966" s="10"/>
      <c r="E966" s="10"/>
      <c r="F966" s="10"/>
      <c r="G966" s="10"/>
      <c r="H966" s="10"/>
      <c r="I966" s="10"/>
    </row>
    <row r="967" spans="4:9" x14ac:dyDescent="0.25">
      <c r="D967" s="10"/>
      <c r="E967" s="10"/>
      <c r="F967" s="10"/>
      <c r="G967" s="10"/>
      <c r="H967" s="10"/>
      <c r="I967" s="10"/>
    </row>
    <row r="968" spans="4:9" x14ac:dyDescent="0.25">
      <c r="D968" s="10"/>
      <c r="E968" s="10"/>
      <c r="F968" s="10"/>
      <c r="G968" s="10"/>
      <c r="H968" s="10"/>
      <c r="I968" s="10"/>
    </row>
    <row r="969" spans="4:9" x14ac:dyDescent="0.25">
      <c r="D969" s="10"/>
      <c r="E969" s="10"/>
      <c r="F969" s="10"/>
      <c r="G969" s="10"/>
      <c r="H969" s="10"/>
      <c r="I969" s="10"/>
    </row>
    <row r="970" spans="4:9" x14ac:dyDescent="0.25">
      <c r="D970" s="10"/>
      <c r="E970" s="10"/>
      <c r="F970" s="10"/>
      <c r="G970" s="10"/>
      <c r="H970" s="10"/>
      <c r="I970" s="10"/>
    </row>
    <row r="971" spans="4:9" x14ac:dyDescent="0.25">
      <c r="D971" s="10"/>
      <c r="E971" s="10"/>
      <c r="F971" s="10"/>
      <c r="G971" s="10"/>
      <c r="H971" s="10"/>
      <c r="I971" s="10"/>
    </row>
    <row r="972" spans="4:9" x14ac:dyDescent="0.25">
      <c r="D972" s="10"/>
      <c r="E972" s="10"/>
      <c r="F972" s="10"/>
      <c r="G972" s="10"/>
      <c r="H972" s="10"/>
      <c r="I972" s="10"/>
    </row>
    <row r="973" spans="4:9" x14ac:dyDescent="0.25">
      <c r="D973" s="10"/>
      <c r="E973" s="10"/>
      <c r="F973" s="10"/>
      <c r="G973" s="10"/>
      <c r="H973" s="10"/>
      <c r="I973" s="10"/>
    </row>
    <row r="974" spans="4:9" x14ac:dyDescent="0.25">
      <c r="D974" s="10"/>
      <c r="E974" s="10"/>
      <c r="F974" s="10"/>
      <c r="G974" s="10"/>
      <c r="H974" s="10"/>
      <c r="I974" s="10"/>
    </row>
    <row r="975" spans="4:9" x14ac:dyDescent="0.25">
      <c r="D975" s="10"/>
      <c r="E975" s="10"/>
      <c r="F975" s="10"/>
      <c r="G975" s="10"/>
      <c r="H975" s="10"/>
      <c r="I975" s="10"/>
    </row>
    <row r="976" spans="4:9" x14ac:dyDescent="0.25">
      <c r="D976" s="10"/>
      <c r="E976" s="10"/>
      <c r="F976" s="10"/>
      <c r="G976" s="10"/>
      <c r="H976" s="10"/>
      <c r="I976" s="10"/>
    </row>
    <row r="977" spans="4:9" x14ac:dyDescent="0.25">
      <c r="D977" s="10"/>
      <c r="E977" s="10"/>
      <c r="F977" s="10"/>
      <c r="G977" s="10"/>
      <c r="H977" s="10"/>
      <c r="I977" s="10"/>
    </row>
    <row r="978" spans="4:9" x14ac:dyDescent="0.25">
      <c r="D978" s="10"/>
      <c r="E978" s="10"/>
      <c r="F978" s="10"/>
      <c r="G978" s="10"/>
      <c r="H978" s="10"/>
      <c r="I978" s="10"/>
    </row>
    <row r="979" spans="4:9" x14ac:dyDescent="0.25">
      <c r="D979" s="10"/>
      <c r="E979" s="10"/>
      <c r="F979" s="10"/>
      <c r="G979" s="10"/>
      <c r="H979" s="10"/>
      <c r="I979" s="10"/>
    </row>
    <row r="980" spans="4:9" x14ac:dyDescent="0.25">
      <c r="D980" s="10"/>
      <c r="E980" s="10"/>
      <c r="F980" s="10"/>
      <c r="G980" s="10"/>
      <c r="H980" s="10"/>
      <c r="I980" s="10"/>
    </row>
    <row r="981" spans="4:9" x14ac:dyDescent="0.25">
      <c r="D981" s="10"/>
      <c r="E981" s="10"/>
      <c r="F981" s="10"/>
      <c r="G981" s="10"/>
      <c r="H981" s="10"/>
      <c r="I981" s="10"/>
    </row>
    <row r="982" spans="4:9" x14ac:dyDescent="0.25">
      <c r="D982" s="10"/>
      <c r="E982" s="10"/>
      <c r="F982" s="10"/>
      <c r="G982" s="10"/>
      <c r="H982" s="10"/>
      <c r="I982" s="10"/>
    </row>
    <row r="983" spans="4:9" x14ac:dyDescent="0.25">
      <c r="D983" s="10"/>
      <c r="E983" s="10"/>
      <c r="F983" s="10"/>
      <c r="G983" s="10"/>
      <c r="H983" s="10"/>
      <c r="I983" s="10"/>
    </row>
    <row r="984" spans="4:9" x14ac:dyDescent="0.25">
      <c r="D984" s="10"/>
      <c r="E984" s="10"/>
      <c r="F984" s="10"/>
      <c r="G984" s="10"/>
      <c r="H984" s="10"/>
      <c r="I984" s="10"/>
    </row>
    <row r="985" spans="4:9" x14ac:dyDescent="0.25">
      <c r="D985" s="10"/>
      <c r="E985" s="10"/>
      <c r="F985" s="10"/>
      <c r="G985" s="10"/>
      <c r="H985" s="10"/>
      <c r="I985" s="10"/>
    </row>
    <row r="986" spans="4:9" x14ac:dyDescent="0.25">
      <c r="D986" s="10"/>
      <c r="E986" s="10"/>
      <c r="F986" s="10"/>
      <c r="G986" s="10"/>
      <c r="H986" s="10"/>
      <c r="I986" s="10"/>
    </row>
    <row r="987" spans="4:9" x14ac:dyDescent="0.25">
      <c r="D987" s="10"/>
      <c r="E987" s="10"/>
      <c r="F987" s="10"/>
      <c r="G987" s="10"/>
      <c r="H987" s="10"/>
      <c r="I987" s="10"/>
    </row>
    <row r="988" spans="4:9" x14ac:dyDescent="0.25">
      <c r="D988" s="10"/>
      <c r="E988" s="10"/>
      <c r="F988" s="10"/>
      <c r="G988" s="10"/>
      <c r="H988" s="10"/>
      <c r="I988" s="10"/>
    </row>
    <row r="989" spans="4:9" x14ac:dyDescent="0.25">
      <c r="D989" s="10"/>
      <c r="E989" s="10"/>
      <c r="F989" s="10"/>
      <c r="G989" s="10"/>
      <c r="H989" s="10"/>
      <c r="I989" s="10"/>
    </row>
    <row r="990" spans="4:9" x14ac:dyDescent="0.25">
      <c r="D990" s="10"/>
      <c r="E990" s="10"/>
      <c r="F990" s="10"/>
      <c r="G990" s="10"/>
      <c r="H990" s="10"/>
      <c r="I990" s="10"/>
    </row>
    <row r="991" spans="4:9" x14ac:dyDescent="0.25">
      <c r="D991" s="10"/>
      <c r="E991" s="10"/>
      <c r="F991" s="10"/>
      <c r="G991" s="10"/>
      <c r="H991" s="10"/>
      <c r="I991" s="10"/>
    </row>
    <row r="992" spans="4:9" x14ac:dyDescent="0.25">
      <c r="D992" s="10"/>
      <c r="E992" s="10"/>
      <c r="F992" s="10"/>
      <c r="G992" s="10"/>
      <c r="H992" s="10"/>
      <c r="I992" s="10"/>
    </row>
    <row r="993" spans="4:9" x14ac:dyDescent="0.25">
      <c r="D993" s="10"/>
      <c r="E993" s="10"/>
      <c r="F993" s="10"/>
      <c r="G993" s="10"/>
      <c r="H993" s="10"/>
      <c r="I993" s="10"/>
    </row>
    <row r="994" spans="4:9" x14ac:dyDescent="0.25">
      <c r="D994" s="10"/>
      <c r="E994" s="10"/>
      <c r="F994" s="10"/>
      <c r="G994" s="10"/>
      <c r="H994" s="10"/>
      <c r="I994" s="10"/>
    </row>
    <row r="995" spans="4:9" x14ac:dyDescent="0.25">
      <c r="D995" s="10"/>
      <c r="E995" s="10"/>
      <c r="F995" s="10"/>
      <c r="G995" s="10"/>
      <c r="H995" s="10"/>
      <c r="I995" s="10"/>
    </row>
    <row r="996" spans="4:9" x14ac:dyDescent="0.25">
      <c r="D996" s="10"/>
      <c r="E996" s="10"/>
      <c r="F996" s="10"/>
      <c r="G996" s="10"/>
      <c r="H996" s="10"/>
      <c r="I996" s="10"/>
    </row>
    <row r="997" spans="4:9" x14ac:dyDescent="0.25">
      <c r="D997" s="10"/>
      <c r="E997" s="10"/>
      <c r="F997" s="10"/>
      <c r="G997" s="10"/>
      <c r="H997" s="10"/>
      <c r="I997" s="10"/>
    </row>
    <row r="998" spans="4:9" x14ac:dyDescent="0.25">
      <c r="D998" s="10"/>
      <c r="E998" s="10"/>
      <c r="F998" s="10"/>
      <c r="G998" s="10"/>
      <c r="H998" s="10"/>
      <c r="I998" s="10"/>
    </row>
    <row r="999" spans="4:9" x14ac:dyDescent="0.25">
      <c r="D999" s="10"/>
      <c r="E999" s="10"/>
      <c r="F999" s="10"/>
      <c r="G999" s="10"/>
      <c r="H999" s="10"/>
      <c r="I999" s="10"/>
    </row>
    <row r="1000" spans="4:9" x14ac:dyDescent="0.25">
      <c r="D1000" s="10"/>
      <c r="E1000" s="10"/>
      <c r="F1000" s="10"/>
      <c r="G1000" s="10"/>
      <c r="H1000" s="10"/>
      <c r="I1000" s="10"/>
    </row>
    <row r="1001" spans="4:9" x14ac:dyDescent="0.25">
      <c r="D1001" s="10"/>
      <c r="E1001" s="10"/>
      <c r="F1001" s="10"/>
      <c r="G1001" s="10"/>
      <c r="H1001" s="10"/>
      <c r="I1001" s="10"/>
    </row>
    <row r="1002" spans="4:9" x14ac:dyDescent="0.25">
      <c r="D1002" s="10"/>
      <c r="E1002" s="10"/>
      <c r="F1002" s="10"/>
      <c r="G1002" s="10"/>
      <c r="H1002" s="10"/>
      <c r="I1002" s="10"/>
    </row>
    <row r="1003" spans="4:9" x14ac:dyDescent="0.25">
      <c r="D1003" s="10"/>
      <c r="E1003" s="10"/>
      <c r="F1003" s="10"/>
      <c r="G1003" s="10"/>
      <c r="H1003" s="10"/>
      <c r="I1003" s="10"/>
    </row>
    <row r="1004" spans="4:9" x14ac:dyDescent="0.25">
      <c r="D1004" s="10"/>
      <c r="E1004" s="10"/>
      <c r="F1004" s="10"/>
      <c r="G1004" s="10"/>
      <c r="H1004" s="10"/>
      <c r="I1004" s="10"/>
    </row>
    <row r="1005" spans="4:9" x14ac:dyDescent="0.25">
      <c r="D1005" s="10"/>
      <c r="E1005" s="10"/>
      <c r="F1005" s="10"/>
      <c r="G1005" s="10"/>
      <c r="H1005" s="10"/>
      <c r="I1005" s="10"/>
    </row>
    <row r="1006" spans="4:9" x14ac:dyDescent="0.25">
      <c r="D1006" s="10"/>
      <c r="E1006" s="10"/>
      <c r="F1006" s="10"/>
      <c r="G1006" s="10"/>
      <c r="H1006" s="10"/>
      <c r="I1006" s="10"/>
    </row>
    <row r="1007" spans="4:9" x14ac:dyDescent="0.25">
      <c r="D1007" s="10"/>
      <c r="E1007" s="10"/>
      <c r="F1007" s="10"/>
      <c r="G1007" s="10"/>
      <c r="H1007" s="10"/>
      <c r="I1007" s="10"/>
    </row>
    <row r="1008" spans="4:9" x14ac:dyDescent="0.25">
      <c r="D1008" s="10"/>
      <c r="E1008" s="10"/>
      <c r="F1008" s="10"/>
      <c r="G1008" s="10"/>
      <c r="H1008" s="10"/>
      <c r="I1008" s="10"/>
    </row>
    <row r="1009" spans="4:9" x14ac:dyDescent="0.25">
      <c r="D1009" s="10"/>
      <c r="E1009" s="10"/>
      <c r="F1009" s="10"/>
      <c r="G1009" s="10"/>
      <c r="H1009" s="10"/>
      <c r="I1009" s="10"/>
    </row>
    <row r="1010" spans="4:9" x14ac:dyDescent="0.25">
      <c r="D1010" s="10"/>
      <c r="E1010" s="10"/>
      <c r="F1010" s="10"/>
      <c r="G1010" s="10"/>
      <c r="H1010" s="10"/>
      <c r="I1010" s="10"/>
    </row>
    <row r="1011" spans="4:9" x14ac:dyDescent="0.25">
      <c r="D1011" s="10"/>
      <c r="E1011" s="10"/>
      <c r="F1011" s="10"/>
      <c r="G1011" s="10"/>
      <c r="H1011" s="10"/>
      <c r="I1011" s="10"/>
    </row>
    <row r="1012" spans="4:9" x14ac:dyDescent="0.25">
      <c r="D1012" s="10"/>
      <c r="E1012" s="10"/>
      <c r="F1012" s="10"/>
      <c r="G1012" s="10"/>
      <c r="H1012" s="10"/>
      <c r="I1012" s="10"/>
    </row>
    <row r="1013" spans="4:9" x14ac:dyDescent="0.25">
      <c r="D1013" s="10"/>
      <c r="E1013" s="10"/>
      <c r="F1013" s="10"/>
      <c r="G1013" s="10"/>
      <c r="H1013" s="10"/>
      <c r="I1013" s="10"/>
    </row>
    <row r="1014" spans="4:9" x14ac:dyDescent="0.25">
      <c r="D1014" s="10"/>
      <c r="E1014" s="10"/>
      <c r="F1014" s="10"/>
      <c r="G1014" s="10"/>
      <c r="H1014" s="10"/>
      <c r="I1014" s="10"/>
    </row>
    <row r="1015" spans="4:9" x14ac:dyDescent="0.25">
      <c r="D1015" s="10"/>
      <c r="E1015" s="10"/>
      <c r="F1015" s="10"/>
      <c r="G1015" s="10"/>
      <c r="H1015" s="10"/>
      <c r="I1015" s="10"/>
    </row>
    <row r="1016" spans="4:9" x14ac:dyDescent="0.25">
      <c r="D1016" s="10"/>
      <c r="E1016" s="10"/>
      <c r="F1016" s="10"/>
      <c r="G1016" s="10"/>
      <c r="H1016" s="10"/>
      <c r="I1016" s="10"/>
    </row>
    <row r="1017" spans="4:9" x14ac:dyDescent="0.25">
      <c r="D1017" s="10"/>
      <c r="E1017" s="10"/>
      <c r="F1017" s="10"/>
      <c r="G1017" s="10"/>
      <c r="H1017" s="10"/>
      <c r="I1017" s="10"/>
    </row>
    <row r="1018" spans="4:9" x14ac:dyDescent="0.25">
      <c r="D1018" s="10"/>
      <c r="E1018" s="10"/>
      <c r="F1018" s="10"/>
      <c r="G1018" s="10"/>
      <c r="H1018" s="10"/>
      <c r="I1018" s="10"/>
    </row>
    <row r="1019" spans="4:9" x14ac:dyDescent="0.25">
      <c r="D1019" s="10"/>
      <c r="E1019" s="10"/>
      <c r="F1019" s="10"/>
      <c r="G1019" s="10"/>
      <c r="H1019" s="10"/>
      <c r="I1019" s="10"/>
    </row>
    <row r="1020" spans="4:9" x14ac:dyDescent="0.25">
      <c r="D1020" s="10"/>
      <c r="E1020" s="10"/>
      <c r="F1020" s="10"/>
      <c r="G1020" s="10"/>
      <c r="H1020" s="10"/>
      <c r="I1020" s="10"/>
    </row>
    <row r="1021" spans="4:9" x14ac:dyDescent="0.25">
      <c r="D1021" s="10"/>
      <c r="E1021" s="10"/>
      <c r="F1021" s="10"/>
      <c r="G1021" s="10"/>
      <c r="H1021" s="10"/>
      <c r="I1021" s="10"/>
    </row>
    <row r="1022" spans="4:9" x14ac:dyDescent="0.25">
      <c r="D1022" s="10"/>
      <c r="E1022" s="10"/>
      <c r="F1022" s="10"/>
      <c r="G1022" s="10"/>
      <c r="H1022" s="10"/>
      <c r="I1022" s="10"/>
    </row>
    <row r="1023" spans="4:9" x14ac:dyDescent="0.25">
      <c r="D1023" s="10"/>
      <c r="E1023" s="10"/>
      <c r="F1023" s="10"/>
      <c r="G1023" s="10"/>
      <c r="H1023" s="10"/>
      <c r="I1023" s="10"/>
    </row>
    <row r="1024" spans="4:9" x14ac:dyDescent="0.25">
      <c r="D1024" s="10"/>
      <c r="E1024" s="10"/>
      <c r="F1024" s="10"/>
      <c r="G1024" s="10"/>
      <c r="H1024" s="10"/>
      <c r="I1024" s="10"/>
    </row>
    <row r="1025" spans="4:9" x14ac:dyDescent="0.25">
      <c r="D1025" s="10"/>
      <c r="E1025" s="10"/>
      <c r="F1025" s="10"/>
      <c r="G1025" s="10"/>
      <c r="H1025" s="10"/>
      <c r="I1025" s="10"/>
    </row>
    <row r="1026" spans="4:9" x14ac:dyDescent="0.25">
      <c r="D1026" s="10"/>
      <c r="E1026" s="10"/>
      <c r="F1026" s="10"/>
      <c r="G1026" s="10"/>
      <c r="H1026" s="10"/>
      <c r="I1026" s="10"/>
    </row>
    <row r="1027" spans="4:9" x14ac:dyDescent="0.25">
      <c r="D1027" s="10"/>
      <c r="E1027" s="10"/>
      <c r="F1027" s="10"/>
      <c r="G1027" s="10"/>
      <c r="H1027" s="10"/>
      <c r="I1027" s="10"/>
    </row>
    <row r="1028" spans="4:9" x14ac:dyDescent="0.25">
      <c r="D1028" s="10"/>
      <c r="E1028" s="10"/>
      <c r="F1028" s="10"/>
      <c r="G1028" s="10"/>
      <c r="H1028" s="10"/>
      <c r="I1028" s="10"/>
    </row>
    <row r="1029" spans="4:9" x14ac:dyDescent="0.25">
      <c r="D1029" s="10"/>
      <c r="E1029" s="10"/>
      <c r="F1029" s="10"/>
      <c r="G1029" s="10"/>
      <c r="H1029" s="10"/>
      <c r="I1029" s="10"/>
    </row>
  </sheetData>
  <mergeCells count="2">
    <mergeCell ref="B2:H2"/>
    <mergeCell ref="K2:Q2"/>
  </mergeCells>
  <conditionalFormatting sqref="C5:H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H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H1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H2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:Q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:Q1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:Q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Q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:Q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0:Q1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3:Q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:Q1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1:Q1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H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0:H1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:H1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H1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H1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:Q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:Q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B2:L22"/>
  <sheetViews>
    <sheetView workbookViewId="0">
      <selection activeCell="K8" sqref="K8"/>
    </sheetView>
  </sheetViews>
  <sheetFormatPr defaultRowHeight="15" x14ac:dyDescent="0.25"/>
  <cols>
    <col min="2" max="2" width="18.85546875" style="1" bestFit="1" customWidth="1"/>
    <col min="3" max="3" width="19.28515625" bestFit="1" customWidth="1"/>
    <col min="4" max="4" width="21.5703125" bestFit="1" customWidth="1"/>
    <col min="5" max="5" width="10.7109375" bestFit="1" customWidth="1"/>
    <col min="9" max="9" width="21.42578125" bestFit="1" customWidth="1"/>
    <col min="10" max="10" width="19" bestFit="1" customWidth="1"/>
    <col min="11" max="11" width="25.5703125" bestFit="1" customWidth="1"/>
    <col min="12" max="12" width="29.28515625" bestFit="1" customWidth="1"/>
  </cols>
  <sheetData>
    <row r="2" spans="2:12" x14ac:dyDescent="0.25">
      <c r="B2" s="1" t="s">
        <v>45</v>
      </c>
      <c r="C2" t="s">
        <v>20</v>
      </c>
      <c r="D2" t="s">
        <v>17</v>
      </c>
      <c r="E2" t="s">
        <v>18</v>
      </c>
      <c r="I2" s="1" t="s">
        <v>5</v>
      </c>
      <c r="J2" s="1" t="s">
        <v>6</v>
      </c>
      <c r="K2" s="1" t="s">
        <v>7</v>
      </c>
    </row>
    <row r="3" spans="2:12" x14ac:dyDescent="0.25">
      <c r="C3">
        <v>0</v>
      </c>
      <c r="D3" s="4">
        <v>20</v>
      </c>
      <c r="E3" s="4">
        <v>0.05</v>
      </c>
      <c r="I3" s="1">
        <v>1</v>
      </c>
      <c r="J3" s="3">
        <v>0.5</v>
      </c>
      <c r="K3" s="3">
        <v>0</v>
      </c>
    </row>
    <row r="4" spans="2:12" x14ac:dyDescent="0.25">
      <c r="C4">
        <f>C3+E3</f>
        <v>0.05</v>
      </c>
      <c r="D4" s="4">
        <v>40</v>
      </c>
      <c r="E4" s="4">
        <v>0.1</v>
      </c>
      <c r="I4" s="1">
        <v>2</v>
      </c>
      <c r="J4" s="3">
        <v>0.5</v>
      </c>
      <c r="K4" s="3">
        <v>0.5</v>
      </c>
    </row>
    <row r="5" spans="2:12" x14ac:dyDescent="0.25">
      <c r="C5">
        <f>C4+E4</f>
        <v>0.15000000000000002</v>
      </c>
      <c r="D5" s="4">
        <v>50</v>
      </c>
      <c r="E5" s="4">
        <v>0.15</v>
      </c>
      <c r="I5" s="1">
        <v>3</v>
      </c>
      <c r="J5" s="3">
        <v>0.5</v>
      </c>
      <c r="K5" s="3">
        <v>1</v>
      </c>
    </row>
    <row r="6" spans="2:12" x14ac:dyDescent="0.25">
      <c r="C6">
        <f>C5+E5</f>
        <v>0.30000000000000004</v>
      </c>
      <c r="D6" s="4">
        <v>60</v>
      </c>
      <c r="E6" s="4">
        <v>0.1</v>
      </c>
      <c r="I6" s="1">
        <v>4</v>
      </c>
      <c r="J6" s="3">
        <v>1</v>
      </c>
      <c r="K6" s="3">
        <v>0</v>
      </c>
    </row>
    <row r="7" spans="2:12" x14ac:dyDescent="0.25">
      <c r="C7">
        <f>C6+E6</f>
        <v>0.4</v>
      </c>
      <c r="D7" s="4">
        <v>75</v>
      </c>
      <c r="E7" s="4">
        <v>0.3</v>
      </c>
      <c r="I7" s="1">
        <v>5</v>
      </c>
      <c r="J7" s="3">
        <v>1</v>
      </c>
      <c r="K7" s="3">
        <v>0.5</v>
      </c>
    </row>
    <row r="8" spans="2:12" x14ac:dyDescent="0.25">
      <c r="C8">
        <f>C7+E7</f>
        <v>0.7</v>
      </c>
      <c r="D8" s="4">
        <v>85</v>
      </c>
      <c r="E8" s="4">
        <v>0.3</v>
      </c>
      <c r="I8" s="1">
        <v>6</v>
      </c>
      <c r="J8" s="3">
        <v>1</v>
      </c>
      <c r="K8" s="3">
        <v>1</v>
      </c>
    </row>
    <row r="10" spans="2:12" x14ac:dyDescent="0.25">
      <c r="C10" t="s">
        <v>21</v>
      </c>
      <c r="D10" t="s">
        <v>17</v>
      </c>
      <c r="E10" t="s">
        <v>18</v>
      </c>
      <c r="I10" t="s">
        <v>12</v>
      </c>
      <c r="J10" t="s">
        <v>9</v>
      </c>
      <c r="K10" t="s">
        <v>10</v>
      </c>
      <c r="L10" t="s">
        <v>11</v>
      </c>
    </row>
    <row r="11" spans="2:12" x14ac:dyDescent="0.25">
      <c r="C11">
        <f>0</f>
        <v>0</v>
      </c>
      <c r="D11" s="4">
        <v>40</v>
      </c>
      <c r="E11" s="4">
        <v>0.05</v>
      </c>
      <c r="J11" s="3">
        <v>0</v>
      </c>
      <c r="K11" s="3">
        <v>0.9</v>
      </c>
      <c r="L11" s="3">
        <v>0.7</v>
      </c>
    </row>
    <row r="12" spans="2:12" x14ac:dyDescent="0.25">
      <c r="C12">
        <f>C11+E11</f>
        <v>0.05</v>
      </c>
      <c r="D12" s="4">
        <v>80</v>
      </c>
      <c r="E12" s="4">
        <v>0.1</v>
      </c>
      <c r="J12" s="3">
        <v>0.5</v>
      </c>
      <c r="K12" s="3">
        <v>0.7</v>
      </c>
      <c r="L12" s="3">
        <v>0.98</v>
      </c>
    </row>
    <row r="13" spans="2:12" x14ac:dyDescent="0.25">
      <c r="C13">
        <f>C12+E12</f>
        <v>0.15000000000000002</v>
      </c>
      <c r="D13" s="4">
        <v>100</v>
      </c>
      <c r="E13" s="4">
        <v>0.15</v>
      </c>
      <c r="J13" s="3">
        <v>1</v>
      </c>
      <c r="K13" s="3">
        <v>0.5</v>
      </c>
      <c r="L13" s="6">
        <v>0.99990000000000001</v>
      </c>
    </row>
    <row r="14" spans="2:12" x14ac:dyDescent="0.25">
      <c r="C14">
        <f>C13+E13</f>
        <v>0.30000000000000004</v>
      </c>
      <c r="D14" s="4">
        <v>120</v>
      </c>
      <c r="E14" s="4">
        <v>0.1</v>
      </c>
    </row>
    <row r="15" spans="2:12" x14ac:dyDescent="0.25">
      <c r="C15">
        <f>C14+E14</f>
        <v>0.4</v>
      </c>
      <c r="D15" s="4">
        <v>150</v>
      </c>
      <c r="E15" s="4">
        <v>0.3</v>
      </c>
    </row>
    <row r="16" spans="2:12" x14ac:dyDescent="0.25">
      <c r="C16">
        <f>C15+E15</f>
        <v>0.7</v>
      </c>
      <c r="D16" s="4">
        <v>170</v>
      </c>
      <c r="E16" s="4">
        <v>0.3</v>
      </c>
    </row>
    <row r="19" spans="2:5" x14ac:dyDescent="0.25">
      <c r="B19" s="1" t="s">
        <v>46</v>
      </c>
      <c r="C19">
        <v>0</v>
      </c>
      <c r="D19" s="11" t="s">
        <v>31</v>
      </c>
      <c r="E19" s="11">
        <v>0.2</v>
      </c>
    </row>
    <row r="20" spans="2:5" x14ac:dyDescent="0.25">
      <c r="C20">
        <f>C19+E19</f>
        <v>0.2</v>
      </c>
      <c r="D20" s="11" t="s">
        <v>32</v>
      </c>
      <c r="E20" s="11">
        <v>0.3</v>
      </c>
    </row>
    <row r="21" spans="2:5" x14ac:dyDescent="0.25">
      <c r="C21">
        <f>C20+E20</f>
        <v>0.5</v>
      </c>
      <c r="D21" s="11" t="s">
        <v>33</v>
      </c>
      <c r="E21" s="11">
        <v>0.5</v>
      </c>
    </row>
    <row r="22" spans="2:5" x14ac:dyDescent="0.25">
      <c r="C22">
        <f>C21+E21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A1:D36"/>
  <sheetViews>
    <sheetView workbookViewId="0">
      <selection activeCell="G6" sqref="G6"/>
    </sheetView>
  </sheetViews>
  <sheetFormatPr defaultRowHeight="15" x14ac:dyDescent="0.25"/>
  <cols>
    <col min="1" max="1" width="13.28515625" customWidth="1"/>
    <col min="2" max="2" width="18.42578125" customWidth="1"/>
    <col min="3" max="3" width="12.5703125" hidden="1" customWidth="1"/>
    <col min="4" max="4" width="13.140625" customWidth="1"/>
  </cols>
  <sheetData>
    <row r="1" spans="1:4" ht="18.75" x14ac:dyDescent="0.3">
      <c r="A1" s="44" t="s">
        <v>47</v>
      </c>
      <c r="B1" s="44"/>
      <c r="C1" s="44"/>
      <c r="D1" s="44"/>
    </row>
    <row r="2" spans="1:4" x14ac:dyDescent="0.25">
      <c r="A2" s="1" t="s">
        <v>0</v>
      </c>
      <c r="B2" s="1" t="s">
        <v>1</v>
      </c>
      <c r="C2" s="1" t="s">
        <v>4</v>
      </c>
      <c r="D2" s="1" t="s">
        <v>13</v>
      </c>
    </row>
    <row r="3" spans="1:4" x14ac:dyDescent="0.25">
      <c r="A3" s="4">
        <v>1</v>
      </c>
      <c r="B3" s="4">
        <v>779</v>
      </c>
      <c r="C3">
        <f t="shared" ref="C3:C36" si="0">IF(B3=9999,0,IFERROR(B3/A3,0))</f>
        <v>779</v>
      </c>
      <c r="D3">
        <f t="shared" ref="D3:D36" si="1">IF(C3=0,"",C3)</f>
        <v>779</v>
      </c>
    </row>
    <row r="4" spans="1:4" x14ac:dyDescent="0.25">
      <c r="A4" s="4">
        <v>1</v>
      </c>
      <c r="B4" s="4">
        <v>753</v>
      </c>
      <c r="C4">
        <f t="shared" si="0"/>
        <v>753</v>
      </c>
      <c r="D4">
        <f t="shared" si="1"/>
        <v>753</v>
      </c>
    </row>
    <row r="5" spans="1:4" x14ac:dyDescent="0.25">
      <c r="A5" s="4">
        <v>2</v>
      </c>
      <c r="B5" s="4">
        <v>1590</v>
      </c>
      <c r="C5">
        <f t="shared" si="0"/>
        <v>795</v>
      </c>
      <c r="D5">
        <f t="shared" si="1"/>
        <v>795</v>
      </c>
    </row>
    <row r="6" spans="1:4" x14ac:dyDescent="0.25">
      <c r="A6" s="4">
        <v>1</v>
      </c>
      <c r="B6" s="4">
        <v>679</v>
      </c>
      <c r="C6">
        <f t="shared" si="0"/>
        <v>679</v>
      </c>
      <c r="D6">
        <f t="shared" si="1"/>
        <v>679</v>
      </c>
    </row>
    <row r="7" spans="1:4" x14ac:dyDescent="0.25">
      <c r="A7" s="4">
        <v>1</v>
      </c>
      <c r="B7" s="4">
        <v>0</v>
      </c>
      <c r="C7">
        <f t="shared" si="0"/>
        <v>0</v>
      </c>
      <c r="D7" t="str">
        <f t="shared" si="1"/>
        <v/>
      </c>
    </row>
    <row r="8" spans="1:4" x14ac:dyDescent="0.25">
      <c r="A8" s="4">
        <v>4</v>
      </c>
      <c r="B8" s="4">
        <v>3444</v>
      </c>
      <c r="C8">
        <f t="shared" si="0"/>
        <v>861</v>
      </c>
      <c r="D8">
        <f t="shared" si="1"/>
        <v>861</v>
      </c>
    </row>
    <row r="9" spans="1:4" x14ac:dyDescent="0.25">
      <c r="A9" s="4">
        <v>1</v>
      </c>
      <c r="B9" s="4">
        <v>918</v>
      </c>
      <c r="C9">
        <f t="shared" si="0"/>
        <v>918</v>
      </c>
      <c r="D9">
        <f t="shared" si="1"/>
        <v>918</v>
      </c>
    </row>
    <row r="10" spans="1:4" x14ac:dyDescent="0.25">
      <c r="A10" s="4">
        <v>1</v>
      </c>
      <c r="B10" s="4">
        <v>840</v>
      </c>
      <c r="C10">
        <f t="shared" si="0"/>
        <v>840</v>
      </c>
      <c r="D10">
        <f t="shared" si="1"/>
        <v>840</v>
      </c>
    </row>
    <row r="11" spans="1:4" x14ac:dyDescent="0.25">
      <c r="A11" s="4">
        <v>1</v>
      </c>
      <c r="B11" s="4">
        <v>620</v>
      </c>
      <c r="C11">
        <f t="shared" si="0"/>
        <v>620</v>
      </c>
      <c r="D11">
        <f t="shared" si="1"/>
        <v>620</v>
      </c>
    </row>
    <row r="12" spans="1:4" x14ac:dyDescent="0.25">
      <c r="A12" s="4">
        <v>3</v>
      </c>
      <c r="B12" s="4">
        <v>9999</v>
      </c>
      <c r="C12">
        <f t="shared" si="0"/>
        <v>0</v>
      </c>
      <c r="D12" t="str">
        <f t="shared" si="1"/>
        <v/>
      </c>
    </row>
    <row r="13" spans="1:4" x14ac:dyDescent="0.25">
      <c r="A13" s="4">
        <v>1</v>
      </c>
      <c r="B13" s="4">
        <v>940</v>
      </c>
      <c r="C13">
        <f t="shared" si="0"/>
        <v>940</v>
      </c>
      <c r="D13">
        <f t="shared" si="1"/>
        <v>940</v>
      </c>
    </row>
    <row r="14" spans="1:4" x14ac:dyDescent="0.25">
      <c r="A14" s="4">
        <v>1</v>
      </c>
      <c r="B14" s="4">
        <v>700</v>
      </c>
      <c r="C14">
        <f t="shared" si="0"/>
        <v>700</v>
      </c>
      <c r="D14">
        <f t="shared" si="1"/>
        <v>700</v>
      </c>
    </row>
    <row r="15" spans="1:4" x14ac:dyDescent="0.25">
      <c r="A15" s="4">
        <v>2</v>
      </c>
      <c r="B15" s="4">
        <v>1396</v>
      </c>
      <c r="C15">
        <f t="shared" si="0"/>
        <v>698</v>
      </c>
      <c r="D15">
        <f t="shared" si="1"/>
        <v>698</v>
      </c>
    </row>
    <row r="16" spans="1:4" x14ac:dyDescent="0.25">
      <c r="A16" s="4">
        <v>1</v>
      </c>
      <c r="B16" s="4">
        <v>700</v>
      </c>
      <c r="C16">
        <f t="shared" si="0"/>
        <v>700</v>
      </c>
      <c r="D16">
        <f t="shared" si="1"/>
        <v>700</v>
      </c>
    </row>
    <row r="17" spans="1:4" x14ac:dyDescent="0.25">
      <c r="A17" s="4">
        <v>2</v>
      </c>
      <c r="B17" s="4">
        <v>0</v>
      </c>
      <c r="C17">
        <f t="shared" si="0"/>
        <v>0</v>
      </c>
      <c r="D17" t="str">
        <f t="shared" si="1"/>
        <v/>
      </c>
    </row>
    <row r="18" spans="1:4" x14ac:dyDescent="0.25">
      <c r="A18" s="4">
        <v>2</v>
      </c>
      <c r="B18" s="4">
        <v>1554</v>
      </c>
      <c r="C18">
        <f t="shared" si="0"/>
        <v>777</v>
      </c>
      <c r="D18">
        <f t="shared" si="1"/>
        <v>777</v>
      </c>
    </row>
    <row r="19" spans="1:4" x14ac:dyDescent="0.25">
      <c r="A19" s="4">
        <v>1</v>
      </c>
      <c r="B19" s="4">
        <v>864</v>
      </c>
      <c r="C19">
        <f t="shared" si="0"/>
        <v>864</v>
      </c>
      <c r="D19">
        <f t="shared" si="1"/>
        <v>864</v>
      </c>
    </row>
    <row r="20" spans="1:4" x14ac:dyDescent="0.25">
      <c r="A20" s="4">
        <v>1</v>
      </c>
      <c r="B20" s="4">
        <v>725</v>
      </c>
      <c r="C20">
        <f t="shared" si="0"/>
        <v>725</v>
      </c>
      <c r="D20">
        <f t="shared" si="1"/>
        <v>725</v>
      </c>
    </row>
    <row r="21" spans="1:4" x14ac:dyDescent="0.25">
      <c r="A21" s="4">
        <v>3</v>
      </c>
      <c r="B21" s="4">
        <v>1872</v>
      </c>
      <c r="C21">
        <f t="shared" si="0"/>
        <v>624</v>
      </c>
      <c r="D21">
        <f t="shared" si="1"/>
        <v>624</v>
      </c>
    </row>
    <row r="22" spans="1:4" x14ac:dyDescent="0.25">
      <c r="A22" s="4">
        <v>1</v>
      </c>
      <c r="B22" s="4">
        <v>854</v>
      </c>
      <c r="C22">
        <f t="shared" si="0"/>
        <v>854</v>
      </c>
      <c r="D22">
        <f t="shared" si="1"/>
        <v>854</v>
      </c>
    </row>
    <row r="23" spans="1:4" x14ac:dyDescent="0.25">
      <c r="A23" s="4">
        <v>1</v>
      </c>
      <c r="B23" s="4">
        <v>620</v>
      </c>
      <c r="C23">
        <f t="shared" si="0"/>
        <v>620</v>
      </c>
      <c r="D23">
        <f t="shared" si="1"/>
        <v>620</v>
      </c>
    </row>
    <row r="24" spans="1:4" x14ac:dyDescent="0.25">
      <c r="A24" s="4">
        <v>3</v>
      </c>
      <c r="B24" s="4">
        <v>2328</v>
      </c>
      <c r="C24">
        <f t="shared" si="0"/>
        <v>776</v>
      </c>
      <c r="D24">
        <f t="shared" si="1"/>
        <v>776</v>
      </c>
    </row>
    <row r="25" spans="1:4" x14ac:dyDescent="0.25">
      <c r="A25" s="4">
        <v>1</v>
      </c>
      <c r="B25" s="4">
        <v>737</v>
      </c>
      <c r="C25">
        <f t="shared" si="0"/>
        <v>737</v>
      </c>
      <c r="D25">
        <f t="shared" si="1"/>
        <v>737</v>
      </c>
    </row>
    <row r="26" spans="1:4" x14ac:dyDescent="0.25">
      <c r="A26" s="4">
        <v>1</v>
      </c>
      <c r="B26" s="4">
        <v>802</v>
      </c>
      <c r="C26">
        <f t="shared" si="0"/>
        <v>802</v>
      </c>
      <c r="D26">
        <f t="shared" si="1"/>
        <v>802</v>
      </c>
    </row>
    <row r="27" spans="1:4" x14ac:dyDescent="0.25">
      <c r="A27" s="4">
        <v>1</v>
      </c>
      <c r="B27" s="4">
        <v>860</v>
      </c>
      <c r="C27">
        <f t="shared" si="0"/>
        <v>860</v>
      </c>
      <c r="D27">
        <f t="shared" si="1"/>
        <v>860</v>
      </c>
    </row>
    <row r="28" spans="1:4" x14ac:dyDescent="0.25">
      <c r="A28" s="4">
        <v>1</v>
      </c>
      <c r="B28" s="4">
        <v>1060</v>
      </c>
      <c r="C28">
        <f t="shared" si="0"/>
        <v>1060</v>
      </c>
      <c r="D28">
        <f t="shared" si="1"/>
        <v>1060</v>
      </c>
    </row>
    <row r="29" spans="1:4" x14ac:dyDescent="0.25">
      <c r="A29" s="4">
        <v>3</v>
      </c>
      <c r="B29" s="4">
        <v>2205</v>
      </c>
      <c r="C29">
        <f t="shared" si="0"/>
        <v>735</v>
      </c>
      <c r="D29">
        <f t="shared" si="1"/>
        <v>735</v>
      </c>
    </row>
    <row r="30" spans="1:4" x14ac:dyDescent="0.25">
      <c r="A30" s="4">
        <v>4</v>
      </c>
      <c r="B30" s="4">
        <v>2828</v>
      </c>
      <c r="C30">
        <f t="shared" si="0"/>
        <v>707</v>
      </c>
      <c r="D30">
        <f t="shared" si="1"/>
        <v>707</v>
      </c>
    </row>
    <row r="31" spans="1:4" x14ac:dyDescent="0.25">
      <c r="A31" s="4">
        <v>2</v>
      </c>
      <c r="B31" s="4">
        <v>1644</v>
      </c>
      <c r="C31">
        <f t="shared" si="0"/>
        <v>822</v>
      </c>
      <c r="D31">
        <f t="shared" si="1"/>
        <v>822</v>
      </c>
    </row>
    <row r="32" spans="1:4" x14ac:dyDescent="0.25">
      <c r="A32" s="4">
        <v>3</v>
      </c>
      <c r="B32" s="4">
        <v>1842</v>
      </c>
      <c r="C32">
        <f t="shared" si="0"/>
        <v>614</v>
      </c>
      <c r="D32">
        <f t="shared" si="1"/>
        <v>614</v>
      </c>
    </row>
    <row r="33" spans="1:4" x14ac:dyDescent="0.25">
      <c r="A33" s="4">
        <v>1</v>
      </c>
      <c r="B33" s="4">
        <v>807</v>
      </c>
      <c r="C33">
        <f t="shared" si="0"/>
        <v>807</v>
      </c>
      <c r="D33">
        <f t="shared" si="1"/>
        <v>807</v>
      </c>
    </row>
    <row r="34" spans="1:4" x14ac:dyDescent="0.25">
      <c r="A34" s="4">
        <v>2</v>
      </c>
      <c r="B34" s="4">
        <v>1398</v>
      </c>
      <c r="C34">
        <f t="shared" si="0"/>
        <v>699</v>
      </c>
      <c r="D34">
        <f t="shared" si="1"/>
        <v>699</v>
      </c>
    </row>
    <row r="35" spans="1:4" x14ac:dyDescent="0.25">
      <c r="A35" s="4">
        <v>3</v>
      </c>
      <c r="B35" s="4">
        <v>3021</v>
      </c>
      <c r="C35">
        <f t="shared" si="0"/>
        <v>1007</v>
      </c>
      <c r="D35">
        <f t="shared" si="1"/>
        <v>1007</v>
      </c>
    </row>
    <row r="36" spans="1:4" x14ac:dyDescent="0.25">
      <c r="A36" s="4">
        <v>3</v>
      </c>
      <c r="B36" s="4">
        <v>2109</v>
      </c>
      <c r="C36">
        <f t="shared" si="0"/>
        <v>703</v>
      </c>
      <c r="D36">
        <f t="shared" si="1"/>
        <v>703</v>
      </c>
    </row>
  </sheetData>
  <mergeCells count="1">
    <mergeCell ref="A1:D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626AC005-6ACC-4F9C-A233-0CAFDD1EDD3C}">
  <ds:schemaRefs/>
</ds:datastoreItem>
</file>

<file path=customXml/itemProps2.xml><?xml version="1.0" encoding="utf-8"?>
<ds:datastoreItem xmlns:ds="http://schemas.openxmlformats.org/officeDocument/2006/customXml" ds:itemID="{840D36CA-89DC-4D08-A3CC-0DDCB8217858}">
  <ds:schemaRefs/>
</ds:datastoreItem>
</file>

<file path=customXml/itemProps3.xml><?xml version="1.0" encoding="utf-8"?>
<ds:datastoreItem xmlns:ds="http://schemas.openxmlformats.org/officeDocument/2006/customXml" ds:itemID="{05A51E4B-C1D1-4E8D-B60C-E44E8B7ECAF7}">
  <ds:schemaRefs/>
</ds:datastoreItem>
</file>

<file path=customXml/itemProps4.xml><?xml version="1.0" encoding="utf-8"?>
<ds:datastoreItem xmlns:ds="http://schemas.openxmlformats.org/officeDocument/2006/customXml" ds:itemID="{2A029C8E-0D17-4885-A274-963D3974531F}">
  <ds:schemaRefs/>
</ds:datastoreItem>
</file>

<file path=customXml/itemProps5.xml><?xml version="1.0" encoding="utf-8"?>
<ds:datastoreItem xmlns:ds="http://schemas.openxmlformats.org/officeDocument/2006/customXml" ds:itemID="{963734A0-2E6A-456F-9163-87817DDEC58C}">
  <ds:schemaRefs/>
</ds:datastoreItem>
</file>

<file path=customXml/itemProps6.xml><?xml version="1.0" encoding="utf-8"?>
<ds:datastoreItem xmlns:ds="http://schemas.openxmlformats.org/officeDocument/2006/customXml" ds:itemID="{FE8206ED-CF75-49E9-AB6B-F3534D84CF52}">
  <ds:schemaRefs/>
</ds:datastoreItem>
</file>

<file path=customXml/itemProps7.xml><?xml version="1.0" encoding="utf-8"?>
<ds:datastoreItem xmlns:ds="http://schemas.openxmlformats.org/officeDocument/2006/customXml" ds:itemID="{20AF855A-58EF-4F73-881F-ADEF10EDD816}">
  <ds:schemaRefs/>
</ds:datastoreItem>
</file>

<file path=customXml/itemProps8.xml><?xml version="1.0" encoding="utf-8"?>
<ds:datastoreItem xmlns:ds="http://schemas.openxmlformats.org/officeDocument/2006/customXml" ds:itemID="{A5BD9A50-B29E-42A4-AECD-A8F974911904}">
  <ds:schemaRefs/>
</ds:datastoreItem>
</file>

<file path=customXml/itemProps9.xml><?xml version="1.0" encoding="utf-8"?>
<ds:datastoreItem xmlns:ds="http://schemas.openxmlformats.org/officeDocument/2006/customXml" ds:itemID="{B9E23A68-C616-46D5-A837-42D575336978}">
  <ds:schemaRefs/>
</ds:datastoreItem>
</file>

<file path=customXml/itemProps10.xml><?xml version="1.0" encoding="utf-8"?>
<ds:datastoreItem xmlns:ds="http://schemas.openxmlformats.org/officeDocument/2006/customXml" ds:itemID="{A94E040E-B31E-423B-B14D-9D5D72FBB406}">
  <ds:schemaRefs/>
</ds:datastoreItem>
</file>

<file path=customXml/itemProps11.xml><?xml version="1.0" encoding="utf-8"?>
<ds:datastoreItem xmlns:ds="http://schemas.openxmlformats.org/officeDocument/2006/customXml" ds:itemID="{23424782-94D2-4B1C-B3B9-72AA183368BD}">
  <ds:schemaRefs/>
</ds:datastoreItem>
</file>

<file path=customXml/itemProps12.xml><?xml version="1.0" encoding="utf-8"?>
<ds:datastoreItem xmlns:ds="http://schemas.openxmlformats.org/officeDocument/2006/customXml" ds:itemID="{83439AF4-A5FE-4438-BD6F-29A926023FC9}">
  <ds:schemaRefs/>
</ds:datastoreItem>
</file>

<file path=customXml/itemProps13.xml><?xml version="1.0" encoding="utf-8"?>
<ds:datastoreItem xmlns:ds="http://schemas.openxmlformats.org/officeDocument/2006/customXml" ds:itemID="{B31E643A-A321-4B7A-AE86-002B0BB13283}">
  <ds:schemaRefs/>
</ds:datastoreItem>
</file>

<file path=customXml/itemProps14.xml><?xml version="1.0" encoding="utf-8"?>
<ds:datastoreItem xmlns:ds="http://schemas.openxmlformats.org/officeDocument/2006/customXml" ds:itemID="{5063A97F-1479-461C-9528-87709BA4DEE8}">
  <ds:schemaRefs/>
</ds:datastoreItem>
</file>

<file path=customXml/itemProps15.xml><?xml version="1.0" encoding="utf-8"?>
<ds:datastoreItem xmlns:ds="http://schemas.openxmlformats.org/officeDocument/2006/customXml" ds:itemID="{6B037EF7-43BF-4D1B-BD25-23050F7E91CE}">
  <ds:schemaRefs/>
</ds:datastoreItem>
</file>

<file path=customXml/itemProps16.xml><?xml version="1.0" encoding="utf-8"?>
<ds:datastoreItem xmlns:ds="http://schemas.openxmlformats.org/officeDocument/2006/customXml" ds:itemID="{4379F52B-4DA5-46F9-8A7E-0FF6941C6394}">
  <ds:schemaRefs/>
</ds:datastoreItem>
</file>

<file path=customXml/itemProps17.xml><?xml version="1.0" encoding="utf-8"?>
<ds:datastoreItem xmlns:ds="http://schemas.openxmlformats.org/officeDocument/2006/customXml" ds:itemID="{80FF3235-AFDA-472E-8215-DB12B89EC521}">
  <ds:schemaRefs/>
</ds:datastoreItem>
</file>

<file path=customXml/itemProps18.xml><?xml version="1.0" encoding="utf-8"?>
<ds:datastoreItem xmlns:ds="http://schemas.openxmlformats.org/officeDocument/2006/customXml" ds:itemID="{61E50799-1420-4880-AC83-3EFA575CEA6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Model</vt:lpstr>
      <vt:lpstr>Monte Carlo Dashboard</vt:lpstr>
      <vt:lpstr>Demand Tables</vt:lpstr>
      <vt:lpstr>Supply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Johnson, Kari A</dc:creator>
  <cp:lastModifiedBy>Caroline Braun</cp:lastModifiedBy>
  <dcterms:created xsi:type="dcterms:W3CDTF">2016-11-23T00:49:08Z</dcterms:created>
  <dcterms:modified xsi:type="dcterms:W3CDTF">2017-01-02T18:09:12Z</dcterms:modified>
</cp:coreProperties>
</file>